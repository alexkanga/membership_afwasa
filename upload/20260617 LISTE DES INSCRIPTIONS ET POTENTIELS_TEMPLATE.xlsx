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embres\"/>
    </mc:Choice>
  </mc:AlternateContent>
  <xr:revisionPtr revIDLastSave="0" documentId="13_ncr:1_{9525DC6A-6612-4AC0-8F42-1F1A3BA39CA1}" xr6:coauthVersionLast="47" xr6:coauthVersionMax="47" xr10:uidLastSave="{00000000-0000-0000-0000-000000000000}"/>
  <bookViews>
    <workbookView xWindow="-108" yWindow="-108" windowWidth="23256" windowHeight="12456" tabRatio="847" xr2:uid="{00000000-000D-0000-FFFF-FFFF00000000}"/>
  </bookViews>
  <sheets>
    <sheet name="INSCRIPTIONS ET ADHESIONS" sheetId="10" r:id="rId1"/>
  </sheets>
  <definedNames>
    <definedName name="_xlnm._FilterDatabase" localSheetId="0" hidden="1">'INSCRIPTIONS ET ADHESIONS'!$M$295:$M$295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48" i="10" l="1"/>
  <c r="K849" i="10"/>
  <c r="K850" i="10"/>
  <c r="K851" i="10"/>
  <c r="K852" i="10"/>
  <c r="K853" i="10"/>
  <c r="K854" i="10"/>
  <c r="O854" i="10"/>
  <c r="O853" i="10"/>
  <c r="O852" i="10"/>
  <c r="O851" i="10"/>
  <c r="O850" i="10"/>
  <c r="K843" i="10"/>
  <c r="K844" i="10"/>
  <c r="K845" i="10"/>
  <c r="K846" i="10"/>
  <c r="K847" i="10"/>
  <c r="O849" i="10"/>
  <c r="O848" i="10"/>
  <c r="O847" i="10"/>
  <c r="O846" i="10"/>
  <c r="O845" i="10"/>
  <c r="O844" i="10"/>
  <c r="K839" i="10"/>
  <c r="K840" i="10"/>
  <c r="K841" i="10"/>
  <c r="K842" i="10"/>
  <c r="O843" i="10"/>
  <c r="O842" i="10"/>
  <c r="O841" i="10"/>
  <c r="O840" i="10"/>
  <c r="O839" i="10"/>
  <c r="K831" i="10"/>
  <c r="K832" i="10"/>
  <c r="K833" i="10"/>
  <c r="K834" i="10"/>
  <c r="K835" i="10"/>
  <c r="K836" i="10"/>
  <c r="K837" i="10"/>
  <c r="K838" i="10"/>
  <c r="O838" i="10"/>
  <c r="O837" i="10"/>
  <c r="O836" i="10"/>
  <c r="O835" i="10"/>
  <c r="O834" i="10"/>
  <c r="K824" i="10"/>
  <c r="K825" i="10"/>
  <c r="K826" i="10"/>
  <c r="K827" i="10"/>
  <c r="K828" i="10"/>
  <c r="K829" i="10"/>
  <c r="K830" i="10"/>
  <c r="O833" i="10"/>
  <c r="O832" i="10"/>
  <c r="O831" i="10"/>
  <c r="O830" i="10"/>
  <c r="O829" i="10"/>
  <c r="O828" i="10"/>
  <c r="O827" i="10"/>
  <c r="O826" i="10"/>
  <c r="O825" i="10" l="1"/>
  <c r="K819" i="10"/>
  <c r="K820" i="10"/>
  <c r="K821" i="10"/>
  <c r="K822" i="10"/>
  <c r="K823" i="10"/>
  <c r="O824" i="10"/>
  <c r="O823" i="10"/>
  <c r="O822" i="10"/>
  <c r="O821" i="10"/>
  <c r="K816" i="10"/>
  <c r="K817" i="10"/>
  <c r="K818" i="10"/>
  <c r="O820" i="10"/>
  <c r="O819" i="10"/>
  <c r="O818" i="10"/>
  <c r="K813" i="10"/>
  <c r="K814" i="10"/>
  <c r="K815" i="10"/>
  <c r="O817" i="10"/>
  <c r="O816" i="10"/>
  <c r="O815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O814" i="10"/>
  <c r="O813" i="10"/>
  <c r="O812" i="10"/>
  <c r="O811" i="10"/>
  <c r="O810" i="10"/>
  <c r="O809" i="10"/>
  <c r="O808" i="10"/>
  <c r="O807" i="10"/>
  <c r="O806" i="10"/>
  <c r="O805" i="10"/>
  <c r="O804" i="10"/>
  <c r="O803" i="10"/>
  <c r="O802" i="10"/>
  <c r="O801" i="10"/>
  <c r="O800" i="10"/>
  <c r="O799" i="10"/>
  <c r="O798" i="10"/>
  <c r="O797" i="10"/>
  <c r="O796" i="10"/>
  <c r="O795" i="10"/>
  <c r="O794" i="10"/>
  <c r="O793" i="10"/>
  <c r="O792" i="10"/>
  <c r="O791" i="10"/>
  <c r="O790" i="10"/>
  <c r="O789" i="10"/>
  <c r="O788" i="10"/>
  <c r="O787" i="10"/>
  <c r="O786" i="10"/>
  <c r="O785" i="10"/>
  <c r="O784" i="10"/>
  <c r="O783" i="10"/>
  <c r="O782" i="10"/>
  <c r="O781" i="10"/>
  <c r="O780" i="10"/>
  <c r="O779" i="10"/>
  <c r="O778" i="10"/>
  <c r="O777" i="10"/>
  <c r="O776" i="10"/>
  <c r="O775" i="10"/>
  <c r="O774" i="10"/>
  <c r="O773" i="10"/>
  <c r="O772" i="10"/>
  <c r="O771" i="10"/>
  <c r="O770" i="10"/>
  <c r="O769" i="10"/>
  <c r="O768" i="10"/>
  <c r="O767" i="10"/>
  <c r="O766" i="10"/>
  <c r="O765" i="10"/>
  <c r="O764" i="10"/>
  <c r="O763" i="10"/>
  <c r="O762" i="10"/>
  <c r="O761" i="10"/>
  <c r="O760" i="10"/>
  <c r="O759" i="10"/>
  <c r="O758" i="10"/>
  <c r="O757" i="10"/>
  <c r="O756" i="10"/>
  <c r="O755" i="10"/>
  <c r="O754" i="10"/>
  <c r="O753" i="10"/>
  <c r="O752" i="10"/>
  <c r="O751" i="10"/>
  <c r="O750" i="10"/>
  <c r="O749" i="10"/>
  <c r="O748" i="10"/>
  <c r="O747" i="10"/>
  <c r="O746" i="10"/>
  <c r="O745" i="10"/>
  <c r="O744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O743" i="10"/>
  <c r="O742" i="10"/>
  <c r="O741" i="10"/>
  <c r="O740" i="10"/>
  <c r="O739" i="10"/>
  <c r="O738" i="10"/>
  <c r="O737" i="10"/>
  <c r="O736" i="10"/>
  <c r="O735" i="10"/>
  <c r="O734" i="10"/>
  <c r="O733" i="10"/>
  <c r="O732" i="10"/>
  <c r="O731" i="10"/>
  <c r="O730" i="10"/>
  <c r="O729" i="10"/>
  <c r="O728" i="10"/>
  <c r="O727" i="10"/>
  <c r="O726" i="10"/>
  <c r="O725" i="10"/>
  <c r="O724" i="10"/>
  <c r="O723" i="10"/>
  <c r="O722" i="10"/>
  <c r="O721" i="10"/>
  <c r="O720" i="10"/>
  <c r="O719" i="10"/>
  <c r="O718" i="10"/>
  <c r="O717" i="10"/>
  <c r="O716" i="10"/>
  <c r="O715" i="10"/>
  <c r="O714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687" i="10" l="1"/>
  <c r="O688" i="10"/>
  <c r="K678" i="10" l="1"/>
  <c r="K679" i="10"/>
  <c r="K680" i="10"/>
  <c r="K681" i="10"/>
  <c r="K682" i="10"/>
  <c r="K683" i="10"/>
  <c r="K684" i="10"/>
  <c r="K685" i="10"/>
  <c r="O686" i="10"/>
  <c r="O685" i="10"/>
  <c r="K671" i="10"/>
  <c r="K672" i="10"/>
  <c r="K673" i="10"/>
  <c r="K674" i="10"/>
  <c r="K675" i="10"/>
  <c r="K677" i="10"/>
  <c r="K676" i="10"/>
  <c r="O684" i="10"/>
  <c r="O683" i="10"/>
  <c r="O682" i="10"/>
  <c r="O681" i="10"/>
  <c r="O680" i="10"/>
  <c r="O679" i="10"/>
  <c r="O678" i="10"/>
  <c r="O676" i="10"/>
  <c r="O677" i="10"/>
  <c r="O675" i="10"/>
  <c r="O674" i="10"/>
  <c r="O673" i="10"/>
  <c r="O672" i="10"/>
  <c r="O671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O670" i="10"/>
  <c r="O669" i="10"/>
  <c r="O668" i="10"/>
  <c r="O667" i="10"/>
  <c r="O666" i="10"/>
  <c r="O665" i="10"/>
  <c r="O664" i="10"/>
  <c r="O663" i="10"/>
  <c r="O662" i="10"/>
  <c r="O661" i="10"/>
  <c r="O660" i="10"/>
  <c r="O659" i="10"/>
  <c r="O658" i="10"/>
  <c r="O657" i="10"/>
  <c r="O656" i="10"/>
  <c r="O655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O654" i="10"/>
  <c r="O653" i="10"/>
  <c r="O652" i="10"/>
  <c r="O651" i="10"/>
  <c r="O650" i="10"/>
  <c r="O649" i="10"/>
  <c r="O648" i="10"/>
  <c r="O647" i="10"/>
  <c r="O646" i="10"/>
  <c r="O645" i="10"/>
  <c r="O644" i="10"/>
  <c r="O643" i="10"/>
  <c r="O642" i="10"/>
  <c r="O641" i="10"/>
  <c r="O640" i="10"/>
  <c r="O639" i="10"/>
  <c r="O638" i="10"/>
  <c r="O637" i="10"/>
  <c r="O636" i="10"/>
  <c r="O635" i="10"/>
  <c r="O634" i="10"/>
  <c r="K630" i="10"/>
  <c r="K631" i="10"/>
  <c r="O633" i="10"/>
  <c r="O632" i="10"/>
  <c r="O631" i="10"/>
  <c r="O630" i="10"/>
  <c r="K628" i="10"/>
  <c r="K629" i="10"/>
  <c r="O629" i="10"/>
  <c r="O628" i="10"/>
  <c r="K622" i="10"/>
  <c r="K623" i="10"/>
  <c r="K624" i="10"/>
  <c r="K625" i="10"/>
  <c r="K626" i="10"/>
  <c r="K627" i="10"/>
  <c r="O627" i="10"/>
  <c r="O626" i="10"/>
  <c r="O625" i="10"/>
  <c r="O624" i="10"/>
  <c r="O623" i="10" l="1"/>
  <c r="O622" i="10"/>
  <c r="K619" i="10"/>
  <c r="K620" i="10"/>
  <c r="K621" i="10"/>
  <c r="O621" i="10"/>
  <c r="O620" i="10"/>
  <c r="O619" i="10"/>
  <c r="K618" i="10"/>
  <c r="O618" i="10"/>
  <c r="K617" i="10"/>
  <c r="O617" i="10"/>
  <c r="K614" i="10"/>
  <c r="K615" i="10"/>
  <c r="K616" i="10"/>
  <c r="O616" i="10"/>
  <c r="O615" i="10"/>
  <c r="O614" i="10"/>
  <c r="K613" i="10"/>
  <c r="O613" i="10"/>
  <c r="K612" i="10"/>
  <c r="O612" i="10"/>
  <c r="K611" i="10"/>
  <c r="K610" i="10"/>
  <c r="K609" i="10"/>
  <c r="K608" i="10"/>
  <c r="K607" i="10"/>
  <c r="K606" i="10"/>
  <c r="K605" i="10"/>
  <c r="K604" i="10"/>
  <c r="K603" i="10"/>
  <c r="K602" i="10"/>
  <c r="K601" i="10"/>
  <c r="K600" i="10"/>
  <c r="K599" i="10"/>
  <c r="K598" i="10"/>
  <c r="K597" i="10"/>
  <c r="K596" i="10"/>
  <c r="K595" i="10"/>
  <c r="O611" i="10"/>
  <c r="O610" i="10"/>
  <c r="O609" i="10"/>
  <c r="O608" i="10"/>
  <c r="O607" i="10"/>
  <c r="O606" i="10"/>
  <c r="O605" i="10"/>
  <c r="O604" i="10"/>
  <c r="O603" i="10"/>
  <c r="O602" i="10"/>
  <c r="O598" i="10"/>
  <c r="O599" i="10"/>
  <c r="O600" i="10"/>
  <c r="O601" i="10"/>
  <c r="K585" i="10"/>
  <c r="K586" i="10"/>
  <c r="K587" i="10"/>
  <c r="K588" i="10"/>
  <c r="K589" i="10"/>
  <c r="K590" i="10"/>
  <c r="K591" i="10"/>
  <c r="K592" i="10"/>
  <c r="K593" i="10"/>
  <c r="K594" i="10"/>
  <c r="O597" i="10"/>
  <c r="O596" i="10"/>
  <c r="O595" i="10"/>
  <c r="O594" i="10"/>
  <c r="O593" i="10"/>
  <c r="O592" i="10"/>
  <c r="O591" i="10"/>
  <c r="O590" i="10"/>
  <c r="O589" i="10"/>
  <c r="O588" i="10"/>
  <c r="O587" i="10"/>
  <c r="O586" i="10"/>
  <c r="O585" i="10"/>
  <c r="K577" i="10"/>
  <c r="K578" i="10"/>
  <c r="K579" i="10"/>
  <c r="K580" i="10"/>
  <c r="K581" i="10"/>
  <c r="K582" i="10"/>
  <c r="K583" i="10"/>
  <c r="K584" i="10"/>
  <c r="O584" i="10"/>
  <c r="O583" i="10"/>
  <c r="O582" i="10"/>
  <c r="O581" i="10"/>
  <c r="O580" i="10"/>
  <c r="O579" i="10"/>
  <c r="O578" i="10"/>
  <c r="O577" i="10"/>
  <c r="K2" i="10"/>
  <c r="K576" i="10"/>
  <c r="O576" i="10"/>
  <c r="K569" i="10" l="1"/>
  <c r="K570" i="10"/>
  <c r="K571" i="10"/>
  <c r="K572" i="10"/>
  <c r="K573" i="10"/>
  <c r="K574" i="10"/>
  <c r="K575" i="10"/>
  <c r="O575" i="10"/>
  <c r="O574" i="10"/>
  <c r="O573" i="10"/>
  <c r="O572" i="10"/>
  <c r="O571" i="10"/>
  <c r="O570" i="10"/>
  <c r="O569" i="10"/>
  <c r="K565" i="10"/>
  <c r="K566" i="10"/>
  <c r="K567" i="10"/>
  <c r="K568" i="10"/>
  <c r="O568" i="10"/>
  <c r="O567" i="10"/>
  <c r="O566" i="10"/>
  <c r="K563" i="10"/>
  <c r="K564" i="10"/>
  <c r="O563" i="10"/>
  <c r="O564" i="10"/>
  <c r="O565" i="10"/>
  <c r="K561" i="10"/>
  <c r="K562" i="10"/>
  <c r="O561" i="10"/>
  <c r="O562" i="10"/>
  <c r="K555" i="10"/>
  <c r="K556" i="10"/>
  <c r="K557" i="10"/>
  <c r="K558" i="10"/>
  <c r="K559" i="10"/>
  <c r="K560" i="10"/>
  <c r="O560" i="10"/>
  <c r="O559" i="10"/>
  <c r="O558" i="10"/>
  <c r="O557" i="10"/>
  <c r="O556" i="10"/>
  <c r="O555" i="10"/>
  <c r="K550" i="10"/>
  <c r="K551" i="10"/>
  <c r="K552" i="10"/>
  <c r="K553" i="10"/>
  <c r="K554" i="10"/>
  <c r="O554" i="10"/>
  <c r="O553" i="10"/>
  <c r="O552" i="10"/>
  <c r="O551" i="10"/>
  <c r="O550" i="10"/>
  <c r="K549" i="10" l="1"/>
  <c r="O549" i="10"/>
  <c r="K547" i="10"/>
  <c r="K548" i="10"/>
  <c r="O548" i="10"/>
  <c r="O547" i="10"/>
  <c r="K537" i="10"/>
  <c r="K538" i="10"/>
  <c r="K539" i="10"/>
  <c r="K540" i="10"/>
  <c r="K541" i="10"/>
  <c r="K542" i="10"/>
  <c r="K543" i="10"/>
  <c r="K544" i="10"/>
  <c r="K545" i="10"/>
  <c r="K546" i="10"/>
  <c r="O546" i="10"/>
  <c r="O545" i="10"/>
  <c r="O544" i="10"/>
  <c r="O543" i="10"/>
  <c r="O542" i="10"/>
  <c r="O541" i="10"/>
  <c r="O540" i="10"/>
  <c r="O539" i="10"/>
  <c r="O538" i="10"/>
  <c r="O537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O536" i="10"/>
  <c r="O535" i="10"/>
  <c r="O534" i="10"/>
  <c r="O533" i="10"/>
  <c r="O532" i="10"/>
  <c r="O531" i="10"/>
  <c r="O530" i="10"/>
  <c r="O529" i="10"/>
  <c r="O528" i="10"/>
  <c r="O527" i="10"/>
  <c r="O526" i="10"/>
  <c r="O525" i="10"/>
  <c r="O524" i="10"/>
  <c r="O523" i="10"/>
  <c r="O522" i="10"/>
  <c r="O521" i="10"/>
  <c r="O520" i="10"/>
  <c r="O519" i="10"/>
  <c r="O518" i="10"/>
  <c r="O517" i="10"/>
  <c r="O516" i="10"/>
  <c r="O515" i="10"/>
  <c r="O514" i="10"/>
  <c r="O513" i="10"/>
  <c r="O512" i="10"/>
  <c r="O511" i="10"/>
  <c r="O510" i="10"/>
  <c r="O509" i="10"/>
  <c r="O508" i="10"/>
  <c r="O507" i="10"/>
  <c r="O506" i="10"/>
  <c r="O505" i="10"/>
  <c r="O504" i="10"/>
  <c r="O503" i="10"/>
  <c r="O502" i="10"/>
  <c r="O501" i="10"/>
  <c r="O500" i="10"/>
  <c r="O499" i="10"/>
  <c r="O498" i="10"/>
  <c r="O497" i="10"/>
  <c r="O496" i="10"/>
  <c r="O495" i="10"/>
  <c r="O494" i="10"/>
  <c r="O493" i="10"/>
  <c r="O492" i="10"/>
  <c r="O491" i="10"/>
  <c r="O490" i="10"/>
  <c r="O489" i="10"/>
  <c r="O488" i="10"/>
  <c r="O487" i="10"/>
  <c r="O486" i="10"/>
  <c r="O485" i="10"/>
  <c r="O484" i="10"/>
  <c r="O483" i="10"/>
  <c r="O482" i="10"/>
  <c r="O481" i="10"/>
  <c r="O480" i="10"/>
  <c r="O479" i="10"/>
  <c r="K471" i="10"/>
  <c r="K472" i="10"/>
  <c r="K473" i="10"/>
  <c r="K474" i="10"/>
  <c r="K475" i="10"/>
  <c r="K476" i="10"/>
  <c r="K477" i="10"/>
  <c r="K478" i="10"/>
  <c r="O478" i="10"/>
  <c r="O477" i="10"/>
  <c r="O476" i="10"/>
  <c r="O475" i="10"/>
  <c r="O474" i="10"/>
  <c r="O473" i="10"/>
  <c r="K461" i="10"/>
  <c r="K462" i="10"/>
  <c r="K463" i="10"/>
  <c r="K464" i="10"/>
  <c r="K465" i="10"/>
  <c r="K466" i="10"/>
  <c r="K467" i="10"/>
  <c r="K468" i="10"/>
  <c r="K469" i="10"/>
  <c r="K470" i="10"/>
  <c r="O472" i="10"/>
  <c r="O471" i="10"/>
  <c r="O470" i="10"/>
  <c r="O2" i="10"/>
  <c r="O469" i="10"/>
  <c r="O468" i="10"/>
  <c r="O467" i="10"/>
  <c r="O466" i="10"/>
  <c r="O465" i="10"/>
  <c r="O464" i="10"/>
  <c r="O463" i="10"/>
  <c r="O462" i="10"/>
  <c r="K460" i="10"/>
  <c r="O461" i="10"/>
  <c r="K458" i="10"/>
  <c r="K459" i="10"/>
  <c r="O460" i="10"/>
  <c r="O459" i="10"/>
  <c r="O458" i="10"/>
  <c r="K455" i="10"/>
  <c r="K456" i="10"/>
  <c r="K457" i="10"/>
  <c r="O457" i="10"/>
  <c r="O456" i="10"/>
  <c r="O455" i="10"/>
  <c r="K450" i="10"/>
  <c r="K451" i="10"/>
  <c r="K452" i="10"/>
  <c r="K453" i="10"/>
  <c r="K454" i="10"/>
  <c r="O454" i="10"/>
  <c r="O453" i="10"/>
  <c r="O452" i="10"/>
  <c r="O451" i="10"/>
  <c r="O450" i="10"/>
  <c r="K447" i="10"/>
  <c r="K448" i="10"/>
  <c r="K449" i="10"/>
  <c r="O449" i="10"/>
  <c r="O448" i="10"/>
  <c r="K437" i="10"/>
  <c r="K438" i="10"/>
  <c r="K439" i="10"/>
  <c r="K440" i="10"/>
  <c r="K441" i="10"/>
  <c r="K442" i="10"/>
  <c r="K443" i="10"/>
  <c r="K444" i="10"/>
  <c r="K445" i="10"/>
  <c r="K446" i="10"/>
  <c r="O447" i="10"/>
  <c r="O446" i="10"/>
  <c r="O445" i="10"/>
  <c r="O444" i="10"/>
  <c r="O443" i="10"/>
  <c r="O442" i="10"/>
  <c r="O441" i="10"/>
  <c r="O440" i="10"/>
  <c r="O439" i="10"/>
  <c r="O438" i="10"/>
  <c r="O437" i="10"/>
  <c r="K430" i="10"/>
  <c r="K431" i="10"/>
  <c r="K432" i="10"/>
  <c r="K433" i="10"/>
  <c r="K434" i="10"/>
  <c r="K435" i="10"/>
  <c r="K436" i="10"/>
  <c r="O436" i="10"/>
  <c r="O435" i="10"/>
  <c r="O434" i="10"/>
  <c r="O433" i="10"/>
  <c r="O432" i="10"/>
  <c r="O431" i="10"/>
  <c r="O430" i="10"/>
  <c r="K429" i="10"/>
  <c r="K426" i="10"/>
  <c r="K427" i="10"/>
  <c r="K428" i="10"/>
  <c r="O429" i="10"/>
  <c r="K415" i="10"/>
  <c r="K416" i="10"/>
  <c r="K417" i="10"/>
  <c r="K418" i="10"/>
  <c r="K419" i="10"/>
  <c r="K420" i="10"/>
  <c r="K421" i="10"/>
  <c r="K422" i="10"/>
  <c r="K423" i="10"/>
  <c r="K424" i="10"/>
  <c r="K425" i="10"/>
  <c r="O428" i="10"/>
  <c r="O427" i="10"/>
  <c r="O426" i="10"/>
  <c r="O425" i="10"/>
  <c r="O424" i="10"/>
  <c r="O423" i="10"/>
  <c r="O422" i="10"/>
  <c r="O421" i="10"/>
  <c r="O420" i="10"/>
  <c r="O419" i="10"/>
  <c r="O418" i="10"/>
  <c r="O417" i="10"/>
  <c r="K414" i="10"/>
  <c r="O416" i="10"/>
  <c r="O415" i="10"/>
  <c r="O414" i="10"/>
  <c r="K413" i="10"/>
  <c r="K412" i="10"/>
  <c r="K411" i="10"/>
  <c r="K410" i="10"/>
  <c r="K409" i="10"/>
  <c r="O413" i="10"/>
  <c r="O412" i="10"/>
  <c r="O411" i="10"/>
  <c r="O410" i="10"/>
  <c r="O409" i="10"/>
  <c r="K406" i="10"/>
  <c r="K407" i="10"/>
  <c r="K408" i="10"/>
  <c r="O408" i="10"/>
  <c r="O407" i="10"/>
  <c r="O406" i="10"/>
  <c r="K404" i="10"/>
  <c r="K405" i="10"/>
  <c r="O405" i="10"/>
  <c r="O404" i="10"/>
  <c r="K396" i="10"/>
  <c r="K397" i="10"/>
  <c r="K398" i="10"/>
  <c r="K399" i="10"/>
  <c r="K400" i="10"/>
  <c r="K401" i="10"/>
  <c r="K402" i="10"/>
  <c r="K403" i="10"/>
  <c r="O402" i="10"/>
  <c r="O403" i="10"/>
  <c r="O401" i="10"/>
  <c r="O400" i="10"/>
  <c r="O399" i="10"/>
  <c r="O398" i="10"/>
  <c r="O397" i="10"/>
  <c r="O396" i="10"/>
  <c r="K394" i="10"/>
  <c r="K395" i="10"/>
  <c r="O395" i="10"/>
  <c r="K390" i="10"/>
  <c r="K391" i="10"/>
  <c r="K392" i="10"/>
  <c r="K393" i="10"/>
  <c r="O394" i="10"/>
  <c r="O393" i="10"/>
  <c r="O392" i="10"/>
  <c r="O391" i="10"/>
  <c r="O390" i="10"/>
  <c r="K382" i="10"/>
  <c r="K383" i="10"/>
  <c r="K384" i="10"/>
  <c r="K385" i="10"/>
  <c r="K386" i="10"/>
  <c r="K387" i="10"/>
  <c r="K388" i="10"/>
  <c r="K389" i="10"/>
  <c r="O389" i="10"/>
  <c r="O388" i="10"/>
  <c r="O387" i="10"/>
  <c r="O386" i="10"/>
  <c r="O385" i="10"/>
  <c r="O384" i="10"/>
  <c r="O383" i="10"/>
  <c r="K372" i="10"/>
  <c r="K373" i="10"/>
  <c r="K374" i="10"/>
  <c r="K375" i="10"/>
  <c r="K376" i="10"/>
  <c r="K377" i="10"/>
  <c r="K378" i="10"/>
  <c r="K379" i="10"/>
  <c r="K380" i="10"/>
  <c r="K381" i="10"/>
  <c r="O382" i="10"/>
  <c r="O381" i="10"/>
  <c r="O380" i="10"/>
  <c r="O379" i="10"/>
  <c r="O378" i="10"/>
  <c r="O377" i="10"/>
  <c r="O376" i="10"/>
  <c r="O375" i="10"/>
  <c r="O374" i="10"/>
  <c r="K371" i="10"/>
  <c r="O373" i="10"/>
  <c r="O372" i="10"/>
  <c r="K365" i="10"/>
  <c r="K366" i="10"/>
  <c r="K367" i="10"/>
  <c r="K368" i="10"/>
  <c r="K369" i="10"/>
  <c r="K370" i="10"/>
  <c r="O371" i="10"/>
  <c r="O370" i="10"/>
  <c r="O369" i="10"/>
  <c r="O368" i="10"/>
  <c r="O367" i="10"/>
  <c r="O366" i="10"/>
  <c r="O365" i="10"/>
  <c r="K355" i="10"/>
  <c r="K356" i="10"/>
  <c r="K357" i="10"/>
  <c r="K358" i="10"/>
  <c r="K359" i="10"/>
  <c r="K360" i="10"/>
  <c r="K361" i="10"/>
  <c r="K362" i="10"/>
  <c r="K363" i="10"/>
  <c r="K364" i="10"/>
  <c r="O364" i="10"/>
  <c r="O363" i="10"/>
  <c r="O362" i="10"/>
  <c r="O361" i="10"/>
  <c r="O360" i="10"/>
  <c r="O359" i="10"/>
  <c r="O358" i="10"/>
  <c r="O357" i="10"/>
  <c r="O356" i="10"/>
  <c r="K352" i="10"/>
  <c r="K353" i="10"/>
  <c r="K354" i="10"/>
  <c r="O355" i="10"/>
  <c r="O354" i="10"/>
  <c r="K351" i="10"/>
  <c r="O353" i="10"/>
  <c r="O352" i="10"/>
  <c r="O351" i="10"/>
  <c r="K332" i="10"/>
  <c r="O332" i="10"/>
  <c r="K343" i="10"/>
  <c r="K344" i="10"/>
  <c r="K345" i="10"/>
  <c r="K346" i="10"/>
  <c r="K347" i="10"/>
  <c r="K348" i="10"/>
  <c r="K349" i="10"/>
  <c r="K350" i="10"/>
  <c r="O350" i="10"/>
  <c r="O349" i="10"/>
  <c r="O348" i="10"/>
  <c r="O347" i="10"/>
  <c r="O346" i="10"/>
  <c r="O345" i="10"/>
  <c r="O344" i="10"/>
  <c r="O343" i="10"/>
  <c r="K339" i="10"/>
  <c r="K340" i="10"/>
  <c r="K341" i="10"/>
  <c r="K342" i="10"/>
  <c r="O342" i="10"/>
  <c r="O341" i="10"/>
  <c r="O340" i="10"/>
  <c r="K335" i="10"/>
  <c r="K336" i="10"/>
  <c r="K337" i="10"/>
  <c r="K338" i="10"/>
  <c r="O339" i="10"/>
  <c r="O338" i="10"/>
  <c r="O337" i="10"/>
  <c r="O336" i="10"/>
  <c r="K333" i="10"/>
  <c r="K334" i="10"/>
  <c r="O335" i="10"/>
  <c r="O334" i="10"/>
  <c r="O333" i="10"/>
  <c r="K330" i="10"/>
  <c r="K331" i="10"/>
  <c r="O331" i="10"/>
  <c r="O330" i="10"/>
  <c r="K322" i="10"/>
  <c r="K323" i="10"/>
  <c r="K324" i="10"/>
  <c r="K325" i="10"/>
  <c r="K326" i="10"/>
  <c r="K327" i="10"/>
  <c r="K328" i="10"/>
  <c r="K329" i="10"/>
  <c r="O329" i="10"/>
  <c r="O328" i="10"/>
  <c r="O327" i="10"/>
  <c r="O326" i="10"/>
  <c r="O325" i="10"/>
  <c r="O324" i="10"/>
  <c r="O323" i="10"/>
  <c r="K318" i="10"/>
  <c r="K319" i="10"/>
  <c r="K320" i="10"/>
  <c r="K321" i="10"/>
  <c r="O322" i="10"/>
  <c r="O321" i="10"/>
  <c r="O320" i="10"/>
  <c r="K316" i="10"/>
  <c r="K317" i="10"/>
  <c r="O319" i="10"/>
  <c r="O318" i="10"/>
  <c r="O317" i="10"/>
  <c r="O316" i="10"/>
  <c r="K312" i="10"/>
  <c r="K313" i="10"/>
  <c r="K314" i="10"/>
  <c r="K315" i="10"/>
  <c r="O315" i="10"/>
  <c r="O314" i="10"/>
  <c r="O313" i="10"/>
  <c r="K293" i="10"/>
  <c r="O312" i="10"/>
  <c r="K310" i="10"/>
  <c r="K311" i="10"/>
  <c r="O311" i="10"/>
  <c r="O310" i="10"/>
  <c r="K307" i="10"/>
  <c r="K308" i="10"/>
  <c r="K309" i="10"/>
  <c r="O309" i="10"/>
  <c r="O308" i="10"/>
  <c r="O307" i="10"/>
  <c r="K305" i="10"/>
  <c r="K306" i="10"/>
  <c r="O306" i="10"/>
  <c r="O305" i="10"/>
  <c r="K303" i="10"/>
  <c r="K304" i="10"/>
  <c r="O304" i="10"/>
  <c r="O303" i="10"/>
  <c r="K302" i="10"/>
  <c r="O302" i="10"/>
  <c r="K301" i="10"/>
  <c r="O301" i="10"/>
  <c r="K297" i="10"/>
  <c r="K298" i="10"/>
  <c r="K299" i="10"/>
  <c r="K300" i="10"/>
  <c r="O300" i="10"/>
  <c r="O299" i="10"/>
  <c r="K296" i="10"/>
  <c r="O298" i="10"/>
  <c r="O297" i="10"/>
  <c r="O296" i="10"/>
  <c r="K294" i="10"/>
  <c r="K295" i="10"/>
  <c r="O294" i="10"/>
  <c r="O295" i="10"/>
  <c r="O293" i="10" l="1"/>
  <c r="K290" i="10"/>
  <c r="K291" i="10"/>
  <c r="K292" i="10"/>
  <c r="O292" i="10"/>
  <c r="O291" i="10"/>
  <c r="K289" i="10"/>
  <c r="O290" i="10"/>
  <c r="O289" i="10"/>
  <c r="K288" i="10"/>
  <c r="O288" i="10"/>
  <c r="K287" i="10"/>
  <c r="O287" i="10"/>
  <c r="K286" i="10"/>
  <c r="O286" i="10"/>
  <c r="K285" i="10"/>
  <c r="O285" i="10"/>
  <c r="K284" i="10"/>
  <c r="O284" i="10"/>
  <c r="K281" i="10"/>
  <c r="K282" i="10"/>
  <c r="K283" i="10"/>
  <c r="O283" i="10"/>
  <c r="O282" i="10"/>
  <c r="O281" i="10"/>
  <c r="K280" i="10"/>
  <c r="O280" i="10"/>
  <c r="K72" i="10"/>
  <c r="K278" i="10"/>
  <c r="K279" i="10"/>
  <c r="O279" i="10"/>
  <c r="O278" i="10"/>
  <c r="K277" i="10"/>
  <c r="O277" i="10"/>
  <c r="K275" i="10"/>
  <c r="K276" i="10"/>
  <c r="O276" i="10"/>
  <c r="O275" i="10"/>
  <c r="K264" i="10"/>
  <c r="K265" i="10"/>
  <c r="K266" i="10"/>
  <c r="K267" i="10"/>
  <c r="K268" i="10"/>
  <c r="K269" i="10"/>
  <c r="K270" i="10"/>
  <c r="K271" i="10"/>
  <c r="K272" i="10"/>
  <c r="K273" i="10"/>
  <c r="K274" i="10"/>
  <c r="O274" i="10"/>
  <c r="O273" i="10"/>
  <c r="O272" i="10"/>
  <c r="O271" i="10"/>
  <c r="O270" i="10"/>
  <c r="O269" i="10"/>
  <c r="O268" i="10"/>
  <c r="O266" i="10"/>
  <c r="O265" i="10"/>
  <c r="O264" i="10"/>
  <c r="K262" i="10"/>
  <c r="K263" i="10"/>
  <c r="O263" i="10"/>
  <c r="O262" i="10"/>
  <c r="K260" i="10"/>
  <c r="K261" i="10"/>
  <c r="O261" i="10"/>
  <c r="O260" i="10"/>
  <c r="K259" i="10"/>
  <c r="O259" i="10"/>
  <c r="K257" i="10"/>
  <c r="K258" i="10"/>
  <c r="O257" i="10"/>
  <c r="O258" i="10"/>
  <c r="K256" i="10"/>
  <c r="O256" i="10"/>
  <c r="K254" i="10"/>
  <c r="K255" i="10"/>
  <c r="O255" i="10"/>
  <c r="O254" i="10"/>
  <c r="K253" i="10"/>
  <c r="O253" i="10"/>
  <c r="K252" i="10"/>
  <c r="O252" i="10"/>
  <c r="K251" i="10"/>
  <c r="O251" i="10"/>
  <c r="K250" i="10"/>
  <c r="O250" i="10"/>
  <c r="K249" i="10"/>
  <c r="O249" i="10"/>
  <c r="K246" i="10"/>
  <c r="K247" i="10"/>
  <c r="K248" i="10"/>
  <c r="O248" i="10"/>
  <c r="O247" i="10"/>
  <c r="O246" i="10"/>
  <c r="K240" i="10"/>
  <c r="K241" i="10"/>
  <c r="K242" i="10"/>
  <c r="K243" i="10"/>
  <c r="K244" i="10"/>
  <c r="K245" i="10"/>
  <c r="O245" i="10"/>
  <c r="O244" i="10"/>
  <c r="O243" i="10"/>
  <c r="O242" i="10"/>
  <c r="O241" i="10"/>
  <c r="O240" i="10"/>
  <c r="K239" i="10"/>
  <c r="O239" i="10"/>
  <c r="K238" i="10"/>
  <c r="O238" i="10"/>
  <c r="K237" i="10"/>
  <c r="O237" i="10"/>
  <c r="K236" i="10"/>
  <c r="O236" i="10"/>
  <c r="K233" i="10"/>
  <c r="K234" i="10"/>
  <c r="K235" i="10"/>
  <c r="O235" i="10"/>
  <c r="O234" i="10"/>
  <c r="O233" i="10"/>
  <c r="K232" i="10"/>
  <c r="O232" i="10"/>
  <c r="K228" i="10"/>
  <c r="K229" i="10"/>
  <c r="K230" i="10"/>
  <c r="K231" i="10"/>
  <c r="O231" i="10"/>
  <c r="O230" i="10"/>
  <c r="O229" i="10"/>
  <c r="K223" i="10"/>
  <c r="K224" i="10"/>
  <c r="K225" i="10"/>
  <c r="K226" i="10"/>
  <c r="K227" i="10"/>
  <c r="O228" i="10"/>
  <c r="O227" i="10"/>
  <c r="O226" i="10"/>
  <c r="O225" i="10"/>
  <c r="O224" i="10"/>
  <c r="O223" i="10"/>
  <c r="K221" i="10"/>
  <c r="K222" i="10"/>
  <c r="O222" i="10"/>
  <c r="O221" i="10"/>
  <c r="K220" i="10"/>
  <c r="O220" i="10"/>
  <c r="K219" i="10"/>
  <c r="O219" i="10"/>
  <c r="K217" i="10"/>
  <c r="K218" i="10"/>
  <c r="O218" i="10"/>
  <c r="O217" i="10"/>
  <c r="K216" i="10"/>
  <c r="K215" i="10"/>
  <c r="O215" i="10"/>
  <c r="K210" i="10"/>
  <c r="K209" i="10"/>
  <c r="K211" i="10"/>
  <c r="K212" i="10"/>
  <c r="K213" i="10"/>
  <c r="K214" i="10"/>
  <c r="O214" i="10"/>
  <c r="O213" i="10"/>
  <c r="O212" i="10"/>
  <c r="O211" i="10"/>
  <c r="O210" i="10"/>
  <c r="O209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O208" i="10"/>
  <c r="O207" i="10"/>
  <c r="O206" i="10"/>
  <c r="O205" i="10"/>
  <c r="O204" i="10"/>
  <c r="O203" i="10"/>
  <c r="O202" i="10"/>
  <c r="O201" i="10"/>
  <c r="K192" i="10"/>
  <c r="K193" i="10"/>
  <c r="K195" i="10"/>
  <c r="K194" i="10"/>
  <c r="O194" i="10"/>
  <c r="O200" i="10"/>
  <c r="O199" i="10"/>
  <c r="O198" i="10"/>
  <c r="K196" i="10"/>
  <c r="O197" i="10"/>
  <c r="O196" i="10"/>
  <c r="O195" i="10"/>
  <c r="O193" i="10"/>
  <c r="O192" i="10"/>
  <c r="K189" i="10"/>
  <c r="K190" i="10"/>
  <c r="K191" i="10"/>
  <c r="O191" i="10"/>
  <c r="O190" i="10"/>
  <c r="O189" i="10"/>
  <c r="K185" i="10"/>
  <c r="K186" i="10"/>
  <c r="K187" i="10"/>
  <c r="K188" i="10"/>
  <c r="O188" i="10"/>
  <c r="K177" i="10"/>
  <c r="K178" i="10"/>
  <c r="K179" i="10"/>
  <c r="K180" i="10"/>
  <c r="K181" i="10"/>
  <c r="K182" i="10"/>
  <c r="K183" i="10"/>
  <c r="K184" i="10"/>
  <c r="O187" i="10"/>
  <c r="O186" i="10"/>
  <c r="O185" i="10"/>
  <c r="O184" i="10"/>
  <c r="O183" i="10"/>
  <c r="O182" i="10"/>
  <c r="O181" i="10"/>
  <c r="O180" i="10"/>
  <c r="K174" i="10"/>
  <c r="K175" i="10"/>
  <c r="K176" i="10"/>
  <c r="O179" i="10"/>
  <c r="O178" i="10"/>
  <c r="O177" i="10"/>
  <c r="O176" i="10"/>
  <c r="K173" i="10"/>
  <c r="O175" i="10"/>
  <c r="O174" i="10"/>
  <c r="O173" i="10"/>
  <c r="K168" i="10"/>
  <c r="K169" i="10"/>
  <c r="K170" i="10"/>
  <c r="K171" i="10"/>
  <c r="K172" i="10"/>
  <c r="O172" i="10"/>
  <c r="O171" i="10"/>
  <c r="O170" i="10"/>
  <c r="O169" i="10"/>
  <c r="O168" i="10"/>
  <c r="K163" i="10"/>
  <c r="K164" i="10"/>
  <c r="K165" i="10"/>
  <c r="K166" i="10"/>
  <c r="K167" i="10"/>
  <c r="O167" i="10"/>
  <c r="O166" i="10"/>
  <c r="O165" i="10"/>
  <c r="O164" i="10"/>
  <c r="O163" i="10"/>
  <c r="K162" i="10"/>
  <c r="K161" i="10"/>
  <c r="K160" i="10"/>
  <c r="O162" i="10"/>
  <c r="O161" i="10"/>
  <c r="O160" i="10"/>
  <c r="K158" i="10"/>
  <c r="K159" i="10"/>
  <c r="O159" i="10"/>
  <c r="O158" i="10"/>
  <c r="K157" i="10"/>
  <c r="O157" i="10"/>
  <c r="K156" i="10"/>
  <c r="O156" i="10"/>
  <c r="K153" i="10"/>
  <c r="K154" i="10"/>
  <c r="K155" i="10"/>
  <c r="O155" i="10"/>
  <c r="O154" i="10"/>
  <c r="O153" i="10"/>
  <c r="K151" i="10"/>
  <c r="K152" i="10"/>
  <c r="O152" i="10"/>
  <c r="O151" i="10"/>
  <c r="K146" i="10"/>
  <c r="K148" i="10"/>
  <c r="K149" i="10"/>
  <c r="K150" i="10"/>
  <c r="O150" i="10"/>
  <c r="O148" i="10"/>
  <c r="O149" i="10"/>
  <c r="K145" i="10"/>
  <c r="O146" i="10"/>
  <c r="O145" i="10"/>
  <c r="K144" i="10"/>
  <c r="O144" i="10"/>
  <c r="K143" i="10"/>
  <c r="O143" i="10"/>
  <c r="K142" i="10"/>
  <c r="O142" i="10"/>
  <c r="K141" i="10"/>
  <c r="O141" i="10"/>
  <c r="K140" i="10"/>
  <c r="O140" i="10"/>
  <c r="K129" i="10"/>
  <c r="K139" i="10"/>
  <c r="O139" i="10"/>
  <c r="K138" i="10"/>
  <c r="O138" i="10"/>
  <c r="K136" i="10"/>
  <c r="K137" i="10"/>
  <c r="O137" i="10"/>
  <c r="O136" i="10"/>
  <c r="K134" i="10"/>
  <c r="K135" i="10"/>
  <c r="O135" i="10"/>
  <c r="O134" i="10"/>
  <c r="K133" i="10"/>
  <c r="O133" i="10"/>
  <c r="K132" i="10"/>
  <c r="O132" i="10"/>
  <c r="K131" i="10"/>
  <c r="O131" i="10"/>
  <c r="K130" i="10"/>
  <c r="O130" i="10"/>
  <c r="K128" i="10"/>
  <c r="O128" i="10"/>
  <c r="K126" i="10"/>
  <c r="K127" i="10"/>
  <c r="O127" i="10"/>
  <c r="O126" i="10"/>
  <c r="K124" i="10"/>
  <c r="K125" i="10"/>
  <c r="O125" i="10"/>
  <c r="O124" i="10"/>
  <c r="K123" i="10"/>
  <c r="O123" i="10"/>
  <c r="K122" i="10"/>
  <c r="O122" i="10"/>
  <c r="K121" i="10"/>
  <c r="O121" i="10"/>
  <c r="K120" i="10"/>
  <c r="O120" i="10"/>
  <c r="K119" i="10"/>
  <c r="O119" i="10"/>
  <c r="K118" i="10"/>
  <c r="O118" i="10"/>
  <c r="K117" i="10"/>
  <c r="O117" i="10"/>
  <c r="K116" i="10"/>
  <c r="O116" i="10"/>
  <c r="O129" i="10"/>
  <c r="K114" i="10"/>
  <c r="K115" i="10"/>
  <c r="O115" i="10"/>
  <c r="O114" i="10"/>
  <c r="K112" i="10"/>
  <c r="K113" i="10"/>
  <c r="O113" i="10"/>
  <c r="O112" i="10"/>
  <c r="K111" i="10"/>
  <c r="O111" i="10"/>
  <c r="K110" i="10"/>
  <c r="O110" i="10"/>
  <c r="K108" i="10"/>
  <c r="K109" i="10"/>
  <c r="O109" i="10"/>
  <c r="O108" i="10"/>
  <c r="K105" i="10"/>
  <c r="K106" i="10"/>
  <c r="K107" i="10"/>
  <c r="O107" i="10"/>
  <c r="O106" i="10"/>
  <c r="O105" i="10"/>
  <c r="K104" i="10"/>
  <c r="O104" i="10"/>
  <c r="K103" i="10"/>
  <c r="O103" i="10"/>
  <c r="K100" i="10"/>
  <c r="K101" i="10"/>
  <c r="K102" i="10"/>
  <c r="O102" i="10"/>
  <c r="O101" i="10"/>
  <c r="O100" i="10"/>
  <c r="K99" i="10"/>
  <c r="O99" i="10"/>
  <c r="K97" i="10"/>
  <c r="K98" i="10"/>
  <c r="O98" i="10"/>
  <c r="O97" i="10"/>
  <c r="K93" i="10"/>
  <c r="K94" i="10"/>
  <c r="K95" i="10"/>
  <c r="K96" i="10"/>
  <c r="O96" i="10"/>
  <c r="O95" i="10"/>
  <c r="O94" i="10"/>
  <c r="O93" i="10"/>
  <c r="K92" i="10"/>
  <c r="O92" i="10"/>
  <c r="K89" i="10"/>
  <c r="K90" i="10"/>
  <c r="K91" i="10"/>
  <c r="O91" i="10"/>
  <c r="O90" i="10"/>
  <c r="O89" i="10"/>
  <c r="K87" i="10"/>
  <c r="K88" i="10"/>
  <c r="O88" i="10"/>
  <c r="O87" i="10"/>
  <c r="K86" i="10"/>
  <c r="O86" i="10"/>
  <c r="K84" i="10"/>
  <c r="K85" i="10"/>
  <c r="O85" i="10"/>
  <c r="O84" i="10"/>
  <c r="K82" i="10"/>
  <c r="O82" i="10"/>
  <c r="K81" i="10"/>
  <c r="K83" i="10"/>
  <c r="O83" i="10"/>
  <c r="O81" i="10"/>
  <c r="K77" i="10"/>
  <c r="K78" i="10"/>
  <c r="K79" i="10"/>
  <c r="K80" i="10"/>
  <c r="O80" i="10"/>
  <c r="O79" i="10"/>
  <c r="O78" i="10"/>
  <c r="O77" i="10"/>
  <c r="K76" i="10"/>
  <c r="O76" i="10"/>
  <c r="K75" i="10"/>
  <c r="O68" i="10"/>
  <c r="O69" i="10"/>
  <c r="O70" i="10"/>
  <c r="O71" i="10"/>
  <c r="O72" i="10"/>
  <c r="O73" i="10"/>
  <c r="O74" i="10"/>
  <c r="O75" i="10"/>
  <c r="K74" i="10"/>
  <c r="K73" i="10"/>
  <c r="K71" i="10"/>
  <c r="K70" i="10"/>
  <c r="K68" i="10"/>
  <c r="K69" i="10"/>
  <c r="K65" i="10"/>
  <c r="K66" i="10"/>
  <c r="K67" i="10"/>
  <c r="O67" i="10"/>
  <c r="O66" i="10"/>
  <c r="O65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47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47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tc={B0962749-4537-4C3E-A84B-515EBAF605A6}</author>
    <author>Alexandre KANGA</author>
    <author>tc={04D509D2-92C2-423B-B496-B932A6EAD3B7}</author>
    <author>tc={119D2FA3-9E94-4010-8A68-25137D2A903D}</author>
    <author>tc={A4A454CD-0512-4EC7-AFA4-CE7E6CA4E731}</author>
    <author>tc={D2160266-645A-40FE-91F2-6D4D5A40CD68}</author>
  </authors>
  <commentList>
    <comment ref="N5" authorId="0" shapeId="0" xr:uid="{B0962749-4537-4C3E-A84B-515EBAF605A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27/12/2022 Date du reçu</t>
      </text>
    </comment>
    <comment ref="N17" authorId="1" shapeId="0" xr:uid="{38D581B6-A77B-4FB1-B22F-4CFD0DB076C0}">
      <text>
        <r>
          <rPr>
            <sz val="11"/>
            <color theme="1"/>
            <rFont val="Calibri"/>
            <family val="2"/>
            <scheme val="minor"/>
          </rPr>
          <t xml:space="preserve">Alexandre KANGA:
A renseigner par la compta
</t>
        </r>
      </text>
    </comment>
    <comment ref="M82" authorId="1" shapeId="0" xr:uid="{181B62D5-2C4C-4AF2-98C8-8685313C48EF}">
      <text>
        <r>
          <rPr>
            <sz val="11"/>
            <color theme="1"/>
            <rFont val="Calibri"/>
            <family val="2"/>
            <scheme val="minor"/>
          </rPr>
          <t>Alexandre KANGA:
le code 925 crée en 2023 a été remplacé par le code actuel 1072 crée en 2024</t>
        </r>
      </text>
    </comment>
    <comment ref="M131" authorId="1" shapeId="0" xr:uid="{BD31728F-4C6E-4727-944E-F7A8DB3ABE37}">
      <text>
        <r>
          <rPr>
            <sz val="11"/>
            <color theme="1"/>
            <rFont val="Calibri"/>
            <family val="2"/>
            <scheme val="minor"/>
          </rPr>
          <t xml:space="preserve">Alexandre KANGA:
Vérifier que ce code est bien généré dans la plateforme
</t>
        </r>
      </text>
    </comment>
    <comment ref="H133" authorId="2" shapeId="0" xr:uid="{04D509D2-92C2-423B-B496-B932A6EAD3B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orange money</t>
      </text>
    </comment>
    <comment ref="L144" authorId="3" shapeId="0" xr:uid="{119D2FA3-9E94-4010-8A68-25137D2A90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renouvellement pour 2024</t>
      </text>
    </comment>
    <comment ref="N161" authorId="1" shapeId="0" xr:uid="{FA22567C-836A-4EA5-A548-6D08B5FFE143}">
      <text>
        <r>
          <rPr>
            <sz val="11"/>
            <color theme="1"/>
            <rFont val="Calibri"/>
            <family val="2"/>
            <scheme val="minor"/>
          </rPr>
          <t>Alexandre KANGA:
Paiement a confirmer ou non par la comptabilite</t>
        </r>
      </text>
    </comment>
    <comment ref="M171" authorId="1" shapeId="0" xr:uid="{E5DB3064-DB79-4DA3-852A-62EF64815E9A}">
      <text>
        <r>
          <rPr>
            <sz val="11"/>
            <color theme="1"/>
            <rFont val="Calibri"/>
            <family val="2"/>
            <scheme val="minor"/>
          </rPr>
          <t xml:space="preserve">Alexandre KANGA:
Vérifier dans la plateforme d'adhésion si le code membre a été correctement généré
</t>
        </r>
      </text>
    </comment>
    <comment ref="N196" authorId="1" shapeId="0" xr:uid="{C58C744C-EB03-4198-ADA3-239AFF430B55}">
      <text>
        <r>
          <rPr>
            <sz val="11"/>
            <color theme="1"/>
            <rFont val="Calibri"/>
            <family val="2"/>
            <scheme val="minor"/>
          </rPr>
          <t xml:space="preserve">Alexandre KANGA:
Le membre a payé en 2023 avant de s'inscrire sur la plateforme en 2024
</t>
        </r>
      </text>
    </comment>
    <comment ref="M231" authorId="1" shapeId="0" xr:uid="{B7FB825C-54CB-4FD9-B932-6CE56837B546}">
      <text>
        <r>
          <rPr>
            <sz val="11"/>
            <color theme="1"/>
            <rFont val="Calibri"/>
            <family val="2"/>
            <scheme val="minor"/>
          </rPr>
          <t>Alexandre KANGA:
Vérifier activation, Le code membre a été crée dans la BD mais il reste apparemment activation</t>
        </r>
      </text>
    </comment>
    <comment ref="N238" authorId="1" shapeId="0" xr:uid="{CD4F34AA-D32B-455B-8E03-AF1F6C0D5E00}">
      <text>
        <r>
          <rPr>
            <sz val="11"/>
            <color theme="1"/>
            <rFont val="Calibri"/>
            <family val="2"/>
            <scheme val="minor"/>
          </rPr>
          <t>Alexandre KANGA:
Paiement a confirmer ou non par la comptabilité</t>
        </r>
      </text>
    </comment>
    <comment ref="I291" authorId="1" shapeId="0" xr:uid="{C336B923-1276-4E0B-9EC0-260C470ECD69}">
      <text>
        <r>
          <rPr>
            <sz val="11"/>
            <color theme="1"/>
            <rFont val="Calibri"/>
            <family val="2"/>
            <scheme val="minor"/>
          </rPr>
          <t xml:space="preserve">Alexandre KANGA:
Vérifier qu'il est bien activé sur la plateforme
</t>
        </r>
      </text>
    </comment>
    <comment ref="M291" authorId="1" shapeId="0" xr:uid="{E1D4DA31-A4BA-4DD9-96AD-B7FA7B7B88AE}">
      <text>
        <r>
          <rPr>
            <sz val="11"/>
            <color theme="1"/>
            <rFont val="Calibri"/>
            <family val="2"/>
            <scheme val="minor"/>
          </rPr>
          <t>Alexandre KANGA:
Le code membre a été crée mais pas de date activation sur la plateforme. vérifier que le membre est bien activé</t>
        </r>
      </text>
    </comment>
    <comment ref="M304" authorId="1" shapeId="0" xr:uid="{2F86054E-D80B-4F27-8FCA-FAE8DB5ACB13}">
      <text>
        <r>
          <rPr>
            <sz val="11"/>
            <color theme="1"/>
            <rFont val="Calibri"/>
            <family val="2"/>
            <scheme val="minor"/>
          </rPr>
          <t>Alexandre KANGA:
Verifier que le code membre bien renseigné dans la plateforme</t>
        </r>
      </text>
    </comment>
    <comment ref="J312" authorId="1" shapeId="0" xr:uid="{B78EAF1D-09CE-49DF-9103-B6756863C60A}">
      <text>
        <r>
          <rPr>
            <sz val="11"/>
            <color theme="1"/>
            <rFont val="Calibri"/>
            <family val="2"/>
            <scheme val="minor"/>
          </rPr>
          <t>Alexandre KANGA:
Est ce que membre sur plateforme</t>
        </r>
      </text>
    </comment>
    <comment ref="N312" authorId="1" shapeId="0" xr:uid="{17C622C6-A6D6-458A-86A5-3BB3A77C405B}">
      <text>
        <r>
          <rPr>
            <sz val="11"/>
            <color theme="1"/>
            <rFont val="Calibri"/>
            <family val="2"/>
            <scheme val="minor"/>
          </rPr>
          <t xml:space="preserve">Alexandre KANGA:
Retrouver sur la BD Plateforme Adhesion
</t>
        </r>
      </text>
    </comment>
    <comment ref="N322" authorId="1" shapeId="0" xr:uid="{EC50356D-A2BE-45B0-8666-CB51E771A87C}">
      <text>
        <r>
          <rPr>
            <sz val="11"/>
            <color theme="1"/>
            <rFont val="Calibri"/>
            <family val="2"/>
            <scheme val="minor"/>
          </rPr>
          <t>Alexandre KANGA:
Paiement a confirmer ou non par la comptabilite</t>
        </r>
      </text>
    </comment>
    <comment ref="I323" authorId="1" shapeId="0" xr:uid="{5B7F433F-44EF-42F4-A98C-97D2173DDABA}">
      <text>
        <r>
          <rPr>
            <sz val="11"/>
            <color theme="1"/>
            <rFont val="Calibri"/>
            <family val="2"/>
            <scheme val="minor"/>
          </rPr>
          <t>Alexandre KANGA:
Apparemment c'est activé mais pas de code membre</t>
        </r>
      </text>
    </comment>
    <comment ref="M323" authorId="1" shapeId="0" xr:uid="{339DFD34-E79D-4D2E-ADAE-9EBBD6DE7F05}">
      <text>
        <r>
          <rPr>
            <sz val="11"/>
            <color theme="1"/>
            <rFont val="Calibri"/>
            <family val="2"/>
            <scheme val="minor"/>
          </rPr>
          <t xml:space="preserve">Alexandre KANGA:
Création de code membre
Apparemment il n'y a pas de code membre </t>
        </r>
      </text>
    </comment>
    <comment ref="E328" authorId="1" shapeId="0" xr:uid="{075730C2-058F-4843-848A-85A2470BAF93}">
      <text>
        <r>
          <rPr>
            <sz val="11"/>
            <color theme="1"/>
            <rFont val="Calibri"/>
            <family val="2"/>
            <scheme val="minor"/>
          </rPr>
          <t xml:space="preserve">Alexandre KANGA:
inscrit ici en tant membre individuel non africain vérifier avec l'autre inscription effectué en tant que membre individuel africain
</t>
        </r>
      </text>
    </comment>
    <comment ref="F329" authorId="1" shapeId="0" xr:uid="{CF7F5458-0049-4B73-A0EB-1A5223885163}">
      <text>
        <r>
          <rPr>
            <sz val="11"/>
            <color theme="1"/>
            <rFont val="Calibri"/>
            <family val="2"/>
            <scheme val="minor"/>
          </rPr>
          <t>Alexandre KANGA:
La 1ere inscription du 14/12/2025 n'a pas été trouvé donc il a fait une nouvelle inscription le 04/01/2025</t>
        </r>
      </text>
    </comment>
    <comment ref="J360" authorId="1" shapeId="0" xr:uid="{BE78C80C-BBE8-40B0-AFDE-382B8A864C09}">
      <text>
        <r>
          <rPr>
            <sz val="11"/>
            <color theme="1"/>
            <rFont val="Calibri"/>
            <family val="2"/>
            <scheme val="minor"/>
          </rPr>
          <t xml:space="preserve">Alexandre KANGA:
Est ce qu'on retrouve ce membre sur la plateforme
</t>
        </r>
      </text>
    </comment>
    <comment ref="M360" authorId="4" shapeId="0" xr:uid="{A4A454CD-0512-4EC7-AFA4-CE7E6CA4E731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email demande de re-adhesion envoye
</t>
      </text>
    </comment>
    <comment ref="N364" authorId="1" shapeId="0" xr:uid="{A5969AD4-DA9B-4F0A-B822-1DDDFD53030A}">
      <text>
        <r>
          <rPr>
            <sz val="11"/>
            <color theme="1"/>
            <rFont val="Calibri"/>
            <family val="2"/>
            <scheme val="minor"/>
          </rPr>
          <t xml:space="preserve">Alexandre KANGA:
AVANCE
</t>
        </r>
      </text>
    </comment>
    <comment ref="B402" authorId="5" shapeId="0" xr:uid="{D2160266-645A-40FE-91F2-6D4D5A40CD68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[Tâches]
Une tâche ancrée à ce commentaire ne peut pas être affichée dans votre client.
Commentaire :
    @Alexandre KANGA wrong category and invoice @Franck Olivier MABIO </t>
      </text>
    </comment>
    <comment ref="M407" authorId="1" shapeId="0" xr:uid="{0403258B-EE46-4B5B-9CEE-25060087361A}">
      <text>
        <r>
          <rPr>
            <sz val="11"/>
            <color theme="1"/>
            <rFont val="Calibri"/>
            <family val="2"/>
            <scheme val="minor"/>
          </rPr>
          <t>Alexandre KANGA:
Vérifier que activer en base mais le code membre a été renseigné</t>
        </r>
      </text>
    </comment>
    <comment ref="E430" authorId="1" shapeId="0" xr:uid="{2284ECCC-64BA-4E2C-A00F-58229DCC083B}">
      <text>
        <r>
          <rPr>
            <sz val="11"/>
            <color theme="1"/>
            <rFont val="Calibri"/>
            <family val="2"/>
            <scheme val="minor"/>
          </rPr>
          <t xml:space="preserve">Alexandre KANGA:
Prix correct ?
</t>
        </r>
      </text>
    </comment>
    <comment ref="M772" authorId="1" shapeId="0" xr:uid="{7A5709A4-AE2F-40F1-8A95-95AD8E487DF4}">
      <text>
        <r>
          <rPr>
            <sz val="11"/>
            <color theme="1"/>
            <rFont val="Calibri"/>
            <family val="2"/>
            <scheme val="minor"/>
          </rPr>
          <t xml:space="preserve">Alexandre KANGA:
PAS EN MAJUSCULE A VERIFIER
</t>
        </r>
      </text>
    </comment>
  </commentList>
</comments>
</file>

<file path=xl/sharedStrings.xml><?xml version="1.0" encoding="utf-8"?>
<sst xmlns="http://schemas.openxmlformats.org/spreadsheetml/2006/main" count="6520" uniqueCount="2056">
  <si>
    <t>PLAN_ADHESION</t>
  </si>
  <si>
    <t>SOCIETE</t>
  </si>
  <si>
    <t>PAYS</t>
  </si>
  <si>
    <t>EMAIL</t>
  </si>
  <si>
    <t>MONTANT</t>
  </si>
  <si>
    <t>DATE INSCRIPTION</t>
  </si>
  <si>
    <t>NUM FACTURE</t>
  </si>
  <si>
    <t>MODE PAIEMENT</t>
  </si>
  <si>
    <t>CODE MEMBRE</t>
  </si>
  <si>
    <t>TYPE ADHESION</t>
  </si>
  <si>
    <t>Membres Affiliés - Associations / ONG (Africain)</t>
  </si>
  <si>
    <t>AUDACE AFRIQUE</t>
  </si>
  <si>
    <t>institut@audace-afrique.org</t>
  </si>
  <si>
    <t>250.00</t>
  </si>
  <si>
    <t>os_offline</t>
  </si>
  <si>
    <t>MAFF122023-896</t>
  </si>
  <si>
    <t>subscribe</t>
  </si>
  <si>
    <t>Membre individuels - Etudiants</t>
  </si>
  <si>
    <t>odwa.mtembu@worldmerit.org</t>
  </si>
  <si>
    <t>15.00</t>
  </si>
  <si>
    <t>Membres Affiliés - Prestataires de services (cabinets d'études) Africain</t>
  </si>
  <si>
    <t>CABINET EDE</t>
  </si>
  <si>
    <t>francoise.toure@cabinetede.com</t>
  </si>
  <si>
    <t>500.00</t>
  </si>
  <si>
    <t>os_stripe</t>
  </si>
  <si>
    <t>MAFF122023-847</t>
  </si>
  <si>
    <t>Cote D'Ivoire</t>
  </si>
  <si>
    <t>75.00</t>
  </si>
  <si>
    <t>Membres Actifs - Grande taille</t>
  </si>
  <si>
    <t>Rand Water</t>
  </si>
  <si>
    <t>mscwebu@randwater.co.za</t>
  </si>
  <si>
    <t>2000.00</t>
  </si>
  <si>
    <t>Membres Actifs - Taille moyenne</t>
  </si>
  <si>
    <t>1000.00</t>
  </si>
  <si>
    <t>Membre individuels - Consultants/Autres Professionnels (Africain)</t>
  </si>
  <si>
    <t>Sustainable Water and Environment Expertise and Technologies (SWEET)</t>
  </si>
  <si>
    <t>Burkina Faso</t>
  </si>
  <si>
    <t>mamadou.djerma@fulbrightmail.org</t>
  </si>
  <si>
    <t>50.00</t>
  </si>
  <si>
    <t>Ingénierie &amp; Développement (INGEDEV)</t>
  </si>
  <si>
    <t>Central African Republic</t>
  </si>
  <si>
    <t>yvonregism@gmail.com</t>
  </si>
  <si>
    <t>lionel.ouraga02112001@gmail.com</t>
  </si>
  <si>
    <t>youngmo12030569@gmail.com</t>
  </si>
  <si>
    <t>UNIVERSITE DE COCODY</t>
  </si>
  <si>
    <t>thierrymonde2014@gmail.com</t>
  </si>
  <si>
    <t>FEDERAL MINISTRY OF WATER RESOURCES ABUJA</t>
  </si>
  <si>
    <t>Nigeria</t>
  </si>
  <si>
    <t>ugohe@yahoo.com</t>
  </si>
  <si>
    <t>FEDERAL MINISTRY OF WATER RESOURCES, ABUJA</t>
  </si>
  <si>
    <t>chinyere.obiano73@gmail.com</t>
  </si>
  <si>
    <t>MIND132023-881</t>
  </si>
  <si>
    <t>Federal Ministry Of Water Resources Abuja Nigeria</t>
  </si>
  <si>
    <t>ngoziabohwo@yahoo.co.uk</t>
  </si>
  <si>
    <t>MIND132023-880</t>
  </si>
  <si>
    <t>HULTEC EUROPE</t>
  </si>
  <si>
    <t>becale@hultec.fr</t>
  </si>
  <si>
    <t>1500.00</t>
  </si>
  <si>
    <t>Membres Actifs - Petite taille</t>
  </si>
  <si>
    <t>GLOBAL ASSAINISSEMENT INTERNATIONAL</t>
  </si>
  <si>
    <t>alidouband@yahoo.fr</t>
  </si>
  <si>
    <t>350.00</t>
  </si>
  <si>
    <t>MINISTERE SANTE TOGO</t>
  </si>
  <si>
    <t>Togo</t>
  </si>
  <si>
    <t>saniamidou@yahoo.fr</t>
  </si>
  <si>
    <t>MINISTERE EAU ET ASSAINISSEMENT DU SENEGAL</t>
  </si>
  <si>
    <t>Senegal</t>
  </si>
  <si>
    <t>dabasene99@yahoo.fr</t>
  </si>
  <si>
    <t>SenEngineering International SA</t>
  </si>
  <si>
    <t>m-sene@sen-engineering.com</t>
  </si>
  <si>
    <t>HPW FRESH and DRY.CI</t>
  </si>
  <si>
    <t>koffimaths29@gmail.com</t>
  </si>
  <si>
    <t>FSMA</t>
  </si>
  <si>
    <t>magnfall1992@gmail.com</t>
  </si>
  <si>
    <t>PDRA CONSULTING</t>
  </si>
  <si>
    <t>papasambadrame7@gmail.com</t>
  </si>
  <si>
    <t>crajheasenegal@gmail.com</t>
  </si>
  <si>
    <t>CHIMIE TECHNOLOGIE</t>
  </si>
  <si>
    <t>dro2dgt@yahoo.fr</t>
  </si>
  <si>
    <t>PROJECT SOCIETE INT. LTD (PROSOL)</t>
  </si>
  <si>
    <t>dr.proscte@dr.com</t>
  </si>
  <si>
    <t>BNETD</t>
  </si>
  <si>
    <t>hermdago9@gmail.com</t>
  </si>
  <si>
    <t>INDEPENDANT</t>
  </si>
  <si>
    <t>olivier1.nguessan@gmail.com</t>
  </si>
  <si>
    <t>KADI PRESTIGE</t>
  </si>
  <si>
    <t>kadiprestige@gmail.com</t>
  </si>
  <si>
    <t>CAMWATER</t>
  </si>
  <si>
    <t>Cameroon</t>
  </si>
  <si>
    <t>joyceemenkeng@gmail.com</t>
  </si>
  <si>
    <t>Université de Maroua</t>
  </si>
  <si>
    <t>lewila2007@yahoo.fr</t>
  </si>
  <si>
    <t>GIZ</t>
  </si>
  <si>
    <t>Benin</t>
  </si>
  <si>
    <t>djeboukomena@gmail.com</t>
  </si>
  <si>
    <t>SPIMCOBTP</t>
  </si>
  <si>
    <t>angebiagne2018@gmail.com</t>
  </si>
  <si>
    <t>AK CONSULTING GROUP</t>
  </si>
  <si>
    <t>akconsultinggroup14@gmail.com</t>
  </si>
  <si>
    <t>Membres Actifs - Régulateurs/Patrimoine, Municipalités, Institution académiques</t>
  </si>
  <si>
    <t>ffadepoju@gmail.com</t>
  </si>
  <si>
    <t>WASTE WATER RESEARCH UINT</t>
  </si>
  <si>
    <t>jrolandmoun@gmail.com</t>
  </si>
  <si>
    <t>ONAS</t>
  </si>
  <si>
    <t>mallo92h@yahoo.fr</t>
  </si>
  <si>
    <t>Water for People</t>
  </si>
  <si>
    <t>Uganda</t>
  </si>
  <si>
    <t>ylugali@waterforpeople.org</t>
  </si>
  <si>
    <t>Université de Nantes</t>
  </si>
  <si>
    <t>France</t>
  </si>
  <si>
    <t>ericmarion1992@gmail.com</t>
  </si>
  <si>
    <t>sylvain.youmou@patrimoine.ga</t>
  </si>
  <si>
    <t>mamadou.diop@cabinetede.com</t>
  </si>
  <si>
    <t>Freetown City Council</t>
  </si>
  <si>
    <t>marahabdulkarim@gmail.com</t>
  </si>
  <si>
    <t>Omilayé</t>
  </si>
  <si>
    <t>eulogezohoungbogbo@gmail.com</t>
  </si>
  <si>
    <t>GUMA VALLEY</t>
  </si>
  <si>
    <t>francis.lahai@gmail.com</t>
  </si>
  <si>
    <t>yaobakpa@yahoo.fr</t>
  </si>
  <si>
    <t>CHIALI-SERVICES</t>
  </si>
  <si>
    <t>ziryab.chekroun@groupe-chiali.com</t>
  </si>
  <si>
    <t>lomaimouna32@gmail.com</t>
  </si>
  <si>
    <t>SYNERGIE ACTIVE</t>
  </si>
  <si>
    <t>Sylla Yaya</t>
  </si>
  <si>
    <t>synergieactive11@gmail.com</t>
  </si>
  <si>
    <t>koanda.halidou@gmail.com</t>
  </si>
  <si>
    <t>etemgoua1@yahoo.com</t>
  </si>
  <si>
    <t>SIED SARL</t>
  </si>
  <si>
    <t>siedsarL@gmail.com</t>
  </si>
  <si>
    <t>VIDEO POSITIVE</t>
  </si>
  <si>
    <t>aissatou.sall@videopositive.org</t>
  </si>
  <si>
    <t>lekger2@yahoo.fr</t>
  </si>
  <si>
    <t>veumo2005@yahoo.fr</t>
  </si>
  <si>
    <t>OMVS</t>
  </si>
  <si>
    <t>omvssphc@omvs.org</t>
  </si>
  <si>
    <t>EIFFAGE SENEGAL</t>
  </si>
  <si>
    <t>el-hadji-babacar.sy@eiffage.com</t>
  </si>
  <si>
    <t>MIND132023-829</t>
  </si>
  <si>
    <t>Hungarian Water Partnership</t>
  </si>
  <si>
    <t>office@waterpartnership.hu</t>
  </si>
  <si>
    <t>INP-HB YAMOUSSOUKRO</t>
  </si>
  <si>
    <t>eugene.kouakou@inphb.ci</t>
  </si>
  <si>
    <t>Himself</t>
  </si>
  <si>
    <t>South Africa</t>
  </si>
  <si>
    <t>hamanthk@gmail.com</t>
  </si>
  <si>
    <t>MIND132023-825</t>
  </si>
  <si>
    <t>Consultant</t>
  </si>
  <si>
    <t>huababau@yahoo.co</t>
  </si>
  <si>
    <t>MIND132023-824</t>
  </si>
  <si>
    <t>Membres Affiliés - Industriels (Africain)</t>
  </si>
  <si>
    <t>BESTOPLAST TUNISIE</t>
  </si>
  <si>
    <t>mourad.boukhris@bestoplast.com.tn</t>
  </si>
  <si>
    <t>MEMBRE INDIVIDUEL</t>
  </si>
  <si>
    <t>obedmbah@yahoo.com</t>
  </si>
  <si>
    <t>153.00</t>
  </si>
  <si>
    <t>Hungary</t>
  </si>
  <si>
    <t>angelika.puskas@waterpartnership.hu</t>
  </si>
  <si>
    <t>Fresh Life</t>
  </si>
  <si>
    <t>lindsay@saner.gy</t>
  </si>
  <si>
    <t>1525.00</t>
  </si>
  <si>
    <t>IRC</t>
  </si>
  <si>
    <t>bationo@ircwash.org</t>
  </si>
  <si>
    <t>PLASSON FRANCE</t>
  </si>
  <si>
    <t>eric.foultier@plassonfrance.fr</t>
  </si>
  <si>
    <t>renew</t>
  </si>
  <si>
    <t>SOCIETE / INSTITUTION / UNIVERSITE</t>
  </si>
  <si>
    <t>DATE PAIEMENT / ACTIVATION</t>
  </si>
  <si>
    <t>ID</t>
  </si>
  <si>
    <t>EST ACTIVE ?</t>
  </si>
  <si>
    <t>DATE PAIEMENT COMPTABILITE</t>
  </si>
  <si>
    <t>MAFF122020-167</t>
  </si>
  <si>
    <t>Kenya</t>
  </si>
  <si>
    <t>MIND132023-783</t>
  </si>
  <si>
    <t>Camwater</t>
  </si>
  <si>
    <t>Tunisia</t>
  </si>
  <si>
    <t>MAFF122023-823</t>
  </si>
  <si>
    <t>AMEEA</t>
  </si>
  <si>
    <t>MAFF122023-831</t>
  </si>
  <si>
    <t>MIND132023-832</t>
  </si>
  <si>
    <t>MIND132023-837</t>
  </si>
  <si>
    <t>MIND132023-839</t>
  </si>
  <si>
    <t>Algeria</t>
  </si>
  <si>
    <t>MAFF122023-841</t>
  </si>
  <si>
    <t>Mali</t>
  </si>
  <si>
    <t>Sierra Leone</t>
  </si>
  <si>
    <t>SOCIETE DE PATRIMOINE - GABON</t>
  </si>
  <si>
    <t>Gabon</t>
  </si>
  <si>
    <t>MIND132023-862</t>
  </si>
  <si>
    <t>MIND132023-863</t>
  </si>
  <si>
    <t>MIND132023-865</t>
  </si>
  <si>
    <t>CADRE DE REFLEXION ET D'ACTION DES JOURNALISTES SUR L'HYGIENE, L'EAU ET L'ASSAINISSEMENT (CRAJHEA)</t>
  </si>
  <si>
    <t>MIND132023-871</t>
  </si>
  <si>
    <t>MIND132023-875</t>
  </si>
  <si>
    <t>MIND132023-876</t>
  </si>
  <si>
    <t>UCAO</t>
  </si>
  <si>
    <t xml:space="preserve">University of Witwatersrand </t>
  </si>
  <si>
    <t>UNIVERSITE CHEIKH ANTA DIOP DE DAKAR</t>
  </si>
  <si>
    <t>malickniang.ndiaye@ucad.edu.sn</t>
  </si>
  <si>
    <t>MIND132023-898</t>
  </si>
  <si>
    <t>Eau Vive Internationale</t>
  </si>
  <si>
    <t>yongonignan@gmail.com</t>
  </si>
  <si>
    <t xml:space="preserve">Université Félix Houphouët-Boigny </t>
  </si>
  <si>
    <t>traoreabdoul650@gmail.com</t>
  </si>
  <si>
    <t>A PAYE ?</t>
  </si>
  <si>
    <t>Blantyre Water Board</t>
  </si>
  <si>
    <t>Malawi</t>
  </si>
  <si>
    <t>bwb@bwb.mw</t>
  </si>
  <si>
    <t>MACT112025-493</t>
  </si>
  <si>
    <t>Membres Affiliés - Industriels (Non Africain)</t>
  </si>
  <si>
    <t>MAFF122023-715</t>
  </si>
  <si>
    <t>MAFF122023-782</t>
  </si>
  <si>
    <t>Membre individuels - Consultants /Autres Professionnels (Non Africain)</t>
  </si>
  <si>
    <t>MAFF122023-828</t>
  </si>
  <si>
    <t>MAFF122024-833</t>
  </si>
  <si>
    <t>Membre individuels - Consultants/Autres Praofessionnels (Africain)</t>
  </si>
  <si>
    <t>MIND132025-834</t>
  </si>
  <si>
    <t xml:space="preserve">ENS </t>
  </si>
  <si>
    <t>MAFF122023-843</t>
  </si>
  <si>
    <t>Lagos state water regulatory commission</t>
  </si>
  <si>
    <t>MIND132024-877</t>
  </si>
  <si>
    <t>OUI</t>
  </si>
  <si>
    <t>MACT112023-890</t>
  </si>
  <si>
    <t>MIND132023-893</t>
  </si>
  <si>
    <t>MAFF122023-899</t>
  </si>
  <si>
    <t>INTERPLAST LTD</t>
  </si>
  <si>
    <t>Ghana</t>
  </si>
  <si>
    <t>PIPES@INTERPLAST.COM</t>
  </si>
  <si>
    <t>MAFF122019-408</t>
  </si>
  <si>
    <t>CABINET D'ETUDES MARC MERLIN</t>
  </si>
  <si>
    <t>international@cabinet-merlin.com</t>
  </si>
  <si>
    <t>MAFF122019-367</t>
  </si>
  <si>
    <t>LACROIX - Environment activity</t>
  </si>
  <si>
    <t>o.biard@lacroix-sofrel.com</t>
  </si>
  <si>
    <t>MAFF122019-116</t>
  </si>
  <si>
    <t>Instititut supérieure d'Agriculture du Bois de l'Eau et de l'Environnement</t>
  </si>
  <si>
    <t>wefanwedze@yahoo.com</t>
  </si>
  <si>
    <t>MIND132023-904</t>
  </si>
  <si>
    <t>Xylem</t>
  </si>
  <si>
    <t>chetan.mistry@xylem.com</t>
  </si>
  <si>
    <t>MAFF122023-905</t>
  </si>
  <si>
    <t>QUANTUM HOLDING</t>
  </si>
  <si>
    <t>yacou90@yahoo.fr</t>
  </si>
  <si>
    <t>NEGOMEDIA CONSEIL</t>
  </si>
  <si>
    <t>l.lo@negomedia-conseil.com</t>
  </si>
  <si>
    <t>SECA (Service Camerounaise d'Assainissement)</t>
  </si>
  <si>
    <t>seca.hysacam@gmail.com</t>
  </si>
  <si>
    <t>MIND132023-733</t>
  </si>
  <si>
    <t>AgroParisTech</t>
  </si>
  <si>
    <t>opt@agroparistech.fr</t>
  </si>
  <si>
    <t>MACT112025-910</t>
  </si>
  <si>
    <t>Université Joseph Ki-ZERBO</t>
  </si>
  <si>
    <t>ynoussa.maiga@gmail.com</t>
  </si>
  <si>
    <t>MIND132023-911</t>
  </si>
  <si>
    <t>MIND132023-888</t>
  </si>
  <si>
    <t>Str@tec-arc</t>
  </si>
  <si>
    <t>info@stratec-arc.com</t>
  </si>
  <si>
    <t>MAFF122023-918</t>
  </si>
  <si>
    <t>Water and Sanitation Corporation (WASAC) Ltd.</t>
  </si>
  <si>
    <t>Rwanda</t>
  </si>
  <si>
    <t>kazora.shyaka@gmail.com</t>
  </si>
  <si>
    <t>MIND132023-919</t>
  </si>
  <si>
    <t>Membres Affiliés - Associations / ONG (Non Africain)</t>
  </si>
  <si>
    <t>Water For People</t>
  </si>
  <si>
    <t>United States</t>
  </si>
  <si>
    <t>pkalua@waterforpeople.org; wmitole@waterforpeople.org</t>
  </si>
  <si>
    <t>400.00</t>
  </si>
  <si>
    <t>MAFF122023-920</t>
  </si>
  <si>
    <t>Université de Reims Champagne Ardenne</t>
  </si>
  <si>
    <t>mouhamadouseck50@gmail.com</t>
  </si>
  <si>
    <t>MIND132023-921</t>
  </si>
  <si>
    <t>AquaFed</t>
  </si>
  <si>
    <t>neil.dhot@aquafed.org</t>
  </si>
  <si>
    <t>One Green Africa-OGA</t>
  </si>
  <si>
    <t>ewubee92@gmail.com</t>
  </si>
  <si>
    <t>Université Cheikh Anta Diop de Dakar</t>
  </si>
  <si>
    <t>awadiagn2010@gmail.com</t>
  </si>
  <si>
    <t>MIND132023-925 =&gt; MIND132024-1072</t>
  </si>
  <si>
    <t>Arusha Urban Water Supply and Sanitation Authority</t>
  </si>
  <si>
    <t>Tanzania</t>
  </si>
  <si>
    <t>ntibingwaalphy16@gmail.com</t>
  </si>
  <si>
    <t>MIND132023-928</t>
  </si>
  <si>
    <t>SMILE RAIN</t>
  </si>
  <si>
    <t>smile-rain@orange.fr</t>
  </si>
  <si>
    <t>MACT112023-934</t>
  </si>
  <si>
    <t>ua</t>
  </si>
  <si>
    <t>Arab Academy for Science, Technology and Maritime Transport</t>
  </si>
  <si>
    <t>Egypt</t>
  </si>
  <si>
    <t>Ahmed.Swidan@aast.edu</t>
  </si>
  <si>
    <t>MIND132023-937</t>
  </si>
  <si>
    <t>3R</t>
  </si>
  <si>
    <t>Traorehamidou@gmail.com</t>
  </si>
  <si>
    <t>MAFF122023-939</t>
  </si>
  <si>
    <t>Tiyende Sanicon</t>
  </si>
  <si>
    <t>Zambia</t>
  </si>
  <si>
    <t>kaykapanda@gmail.com</t>
  </si>
  <si>
    <t>MIND132025-940</t>
  </si>
  <si>
    <t>MIND132023-857</t>
  </si>
  <si>
    <t>EIER</t>
  </si>
  <si>
    <t>wendyamartial@gmail.com</t>
  </si>
  <si>
    <t>C. E. C.R.F</t>
  </si>
  <si>
    <t>Burundi</t>
  </si>
  <si>
    <t>ndihokubwayoaimable@gmail.com</t>
  </si>
  <si>
    <t>Eswatini Water Services Corporation</t>
  </si>
  <si>
    <t>Eswatini</t>
  </si>
  <si>
    <t>headoffice@ewsc.co.sz</t>
  </si>
  <si>
    <t>MACT112023-944</t>
  </si>
  <si>
    <t>SP-EAU</t>
  </si>
  <si>
    <t>koubonous@yahoo.fr</t>
  </si>
  <si>
    <t>MAFF122019-35</t>
  </si>
  <si>
    <t>APAA</t>
  </si>
  <si>
    <t>ndiour1@yahoo.fr</t>
  </si>
  <si>
    <t>Kampala Capital City Authority</t>
  </si>
  <si>
    <t>ankurunziza@kcca.go.ug</t>
  </si>
  <si>
    <t>MIND132023-947</t>
  </si>
  <si>
    <t>Aguas da Regiao Metropolitana de Maputo</t>
  </si>
  <si>
    <t>Mozambique</t>
  </si>
  <si>
    <t>armate@adrmm.co.mz</t>
  </si>
  <si>
    <t>MIND132023-948</t>
  </si>
  <si>
    <t xml:space="preserve">Université la source de Guinée </t>
  </si>
  <si>
    <t>Guinea</t>
  </si>
  <si>
    <t>traorefousseny60@gmail.com</t>
  </si>
  <si>
    <t>Etablissement Massagnou Ivoire</t>
  </si>
  <si>
    <t>positifkouassi@gmail.com</t>
  </si>
  <si>
    <t xml:space="preserve">Ghana Water Company Ltd. </t>
  </si>
  <si>
    <t>markayertey@yhoo.com</t>
  </si>
  <si>
    <t>EIFFAGE</t>
  </si>
  <si>
    <t>siltofal@gmail.com</t>
  </si>
  <si>
    <t>MIND132023-955</t>
  </si>
  <si>
    <t>tambaathie123@gmail.com</t>
  </si>
  <si>
    <t>DT Global</t>
  </si>
  <si>
    <t>ddmwanza@ddmwanza.com</t>
  </si>
  <si>
    <t>MIND132023-957</t>
  </si>
  <si>
    <t>ESAWAS Regulators Association</t>
  </si>
  <si>
    <t>ymagawa@esawas.org</t>
  </si>
  <si>
    <t>MACT112023-958</t>
  </si>
  <si>
    <t>bureau eau energie environnement solaire (3ES)</t>
  </si>
  <si>
    <t>troiees@yahoo.fr</t>
  </si>
  <si>
    <t>RTI</t>
  </si>
  <si>
    <t>lusekak@gmail.com</t>
  </si>
  <si>
    <t>MIND132023-960</t>
  </si>
  <si>
    <t>BUSINESS FRANCE</t>
  </si>
  <si>
    <t>sylvie.fure@businessfrance.fr</t>
  </si>
  <si>
    <t>Agence Nationale de Gestion des Stations d'Epuration du Mali (ANGESEM)</t>
  </si>
  <si>
    <t>mmahamar05@gmail.com</t>
  </si>
  <si>
    <t>MACT112023-964</t>
  </si>
  <si>
    <t>gmirembe@kcca.go.ug</t>
  </si>
  <si>
    <t>MACT112023- 965</t>
  </si>
  <si>
    <t xml:space="preserve">INTERNATIONAL Sure Consulting </t>
  </si>
  <si>
    <t>info.isc@cgint.pro</t>
  </si>
  <si>
    <t>MAFF122023-966</t>
  </si>
  <si>
    <t xml:space="preserve">WATER &amp; SANITATION PROVIDERS ASSOCIATION-WASPA </t>
  </si>
  <si>
    <t>waspa@africaonline.co.ke</t>
  </si>
  <si>
    <t>MAFF122023-967</t>
  </si>
  <si>
    <t>Direction de la  météorologie et hydrologie</t>
  </si>
  <si>
    <t>Comoros</t>
  </si>
  <si>
    <t>issoufa_moheli@yahoo.fr</t>
  </si>
  <si>
    <t>KISUMU WATER AND SANITATION COMPANY LIMITED</t>
  </si>
  <si>
    <t>info@kiwasco.co.ke</t>
  </si>
  <si>
    <t>MACT112025-969</t>
  </si>
  <si>
    <t xml:space="preserve">EBOSSOGAM </t>
  </si>
  <si>
    <t>Niger</t>
  </si>
  <si>
    <t>arzakeibrahim@gmail.com</t>
  </si>
  <si>
    <t>Kwame Nkrumah University of Science and Technology</t>
  </si>
  <si>
    <t>foxiest45.da@gmail.com</t>
  </si>
  <si>
    <t>Federal Ministry of Water Resources, Abuja, Nigeria.</t>
  </si>
  <si>
    <t>eaugoh@gmail.com</t>
  </si>
  <si>
    <t>STRABAG AG BRANCH OFFICE GHANA</t>
  </si>
  <si>
    <t>manfred.rauch@strabag.com</t>
  </si>
  <si>
    <t>MACT112023-973</t>
  </si>
  <si>
    <t>Open Capital Advisors</t>
  </si>
  <si>
    <t>mlore@opencapital.com</t>
  </si>
  <si>
    <t>Limuru Water &amp; Sewerage Company</t>
  </si>
  <si>
    <t>magmaina@yahoo.com</t>
  </si>
  <si>
    <t>MIND132023-976</t>
  </si>
  <si>
    <t>Kivu Ecosolution</t>
  </si>
  <si>
    <t>The Democratic Republic of Congo</t>
  </si>
  <si>
    <t>sergebashonga6@gmail.com</t>
  </si>
  <si>
    <t>MIND132023-977</t>
  </si>
  <si>
    <t>WRC</t>
  </si>
  <si>
    <t>mamohlodingt@wrc.org.za</t>
  </si>
  <si>
    <t>MACT112023-978</t>
  </si>
  <si>
    <t xml:space="preserve">MetLep International </t>
  </si>
  <si>
    <t>keachdada@yahoo.com</t>
  </si>
  <si>
    <t>MIND132023-979</t>
  </si>
  <si>
    <t>Federal Ministry of Water Resources Nigeria</t>
  </si>
  <si>
    <t>yemisisas@yahoo.com</t>
  </si>
  <si>
    <t>MIND132023-980</t>
  </si>
  <si>
    <t>Self Employed</t>
  </si>
  <si>
    <t>sdonkor@gmail.com</t>
  </si>
  <si>
    <t>MIND132023-981</t>
  </si>
  <si>
    <t>Institut des Sciences de l'Environnement</t>
  </si>
  <si>
    <t>faramax.tina@gmail.com</t>
  </si>
  <si>
    <t>Willfar Information Technology Co.,Ltd</t>
  </si>
  <si>
    <t>China</t>
  </si>
  <si>
    <t>isabellezwl@willfar.com</t>
  </si>
  <si>
    <t xml:space="preserve"> MAFF122023-983</t>
  </si>
  <si>
    <t>La Congolaise Des Eaux</t>
  </si>
  <si>
    <t>Congo</t>
  </si>
  <si>
    <t>ndoto.snde@gmail.com</t>
  </si>
  <si>
    <t xml:space="preserve">Serv'Eau </t>
  </si>
  <si>
    <t xml:space="preserve">Mauritania </t>
  </si>
  <si>
    <t>ste.serv.eau@gmail.com</t>
  </si>
  <si>
    <t>Serv'Eau</t>
  </si>
  <si>
    <t>Mauritania</t>
  </si>
  <si>
    <t>hamdi.toumi@gmail.com</t>
  </si>
  <si>
    <t>agence nationale de gestion de l'environnement</t>
  </si>
  <si>
    <t>kekeliagoh@gmail.com</t>
  </si>
  <si>
    <t>Tanga Urban Water Supply and Sanitation Authority</t>
  </si>
  <si>
    <t>geofreyh@yahoo.com</t>
  </si>
  <si>
    <t>MIND132023-974</t>
  </si>
  <si>
    <t>MAFF122023-874</t>
  </si>
  <si>
    <t>Consultant FreeLance</t>
  </si>
  <si>
    <t>camille.dansou@gmail.com</t>
  </si>
  <si>
    <t>MIND132023-509</t>
  </si>
  <si>
    <t>Jomo Kenyatta University of gricultureand Technology</t>
  </si>
  <si>
    <t>ramesso@jkuat.ac.ke</t>
  </si>
  <si>
    <t>MIND132023-999</t>
  </si>
  <si>
    <t>Institut National de l'Eau de l'Université d'Abomey-calavi</t>
  </si>
  <si>
    <t>ebrimichel14@gmail.com</t>
  </si>
  <si>
    <t>MIND132023-1000</t>
  </si>
  <si>
    <t>personne morale</t>
  </si>
  <si>
    <t>gouzilvalri@gmail.com</t>
  </si>
  <si>
    <t>MIND132023-1001</t>
  </si>
  <si>
    <t>COMMUNE GOLFE 5</t>
  </si>
  <si>
    <t>atchous76@gmail.com</t>
  </si>
  <si>
    <t xml:space="preserve">University of Rwanda </t>
  </si>
  <si>
    <t xml:space="preserve">Rwanda </t>
  </si>
  <si>
    <t>delly637@gmail.com</t>
  </si>
  <si>
    <t xml:space="preserve"> MIND132024-1003</t>
  </si>
  <si>
    <t xml:space="preserve">Dundalk Institute of Technology </t>
  </si>
  <si>
    <t>hammond.sarpong@dkit.ie</t>
  </si>
  <si>
    <t>MIND132023-938</t>
  </si>
  <si>
    <t>B2A GROUP</t>
  </si>
  <si>
    <t>lansanagagny@gmail.com</t>
  </si>
  <si>
    <t>MAFF122023-1005</t>
  </si>
  <si>
    <t>versdos@gmail.com</t>
  </si>
  <si>
    <t xml:space="preserve">Global sanitation environmental projects </t>
  </si>
  <si>
    <t>varetproducts@yahoo.com</t>
  </si>
  <si>
    <t>MAFF122023-1007</t>
  </si>
  <si>
    <t>The University of Maroua</t>
  </si>
  <si>
    <t>iss.bouba.lucas@gmail.com</t>
  </si>
  <si>
    <t xml:space="preserve">Kwara State University, Malete, Nigeria </t>
  </si>
  <si>
    <t xml:space="preserve">Nigeria </t>
  </si>
  <si>
    <t>abigaelbanks@gmail.com</t>
  </si>
  <si>
    <t>MIND132024-1009</t>
  </si>
  <si>
    <t>Njala University</t>
  </si>
  <si>
    <t>yahayak.kawa@njala.edu.sl</t>
  </si>
  <si>
    <t>MIND132023-1010</t>
  </si>
  <si>
    <t>Association KYNAROU</t>
  </si>
  <si>
    <t>cmampuya1990@gmail.com</t>
  </si>
  <si>
    <t>MIND132023-1012</t>
  </si>
  <si>
    <t>​Center of Water Researches and Technologies</t>
  </si>
  <si>
    <t>hamza.elfil@certe.rnrt.tn</t>
  </si>
  <si>
    <t>MIND132023-835</t>
  </si>
  <si>
    <t>Sans organisation</t>
  </si>
  <si>
    <t>ngonojsph783@gmail.com</t>
  </si>
  <si>
    <t>Nakuru Rural Water</t>
  </si>
  <si>
    <t>info@naruwasco.co.ke</t>
  </si>
  <si>
    <t>Individuel</t>
  </si>
  <si>
    <t>seynit12@gmail.com</t>
  </si>
  <si>
    <t>MIND132023-1018</t>
  </si>
  <si>
    <t xml:space="preserve"> </t>
  </si>
  <si>
    <t xml:space="preserve">Water &amp; Sanitation for the Urban Poor </t>
  </si>
  <si>
    <t xml:space="preserve">United Kingdom </t>
  </si>
  <si>
    <t>partnerships@wsup.com</t>
  </si>
  <si>
    <t>BMGF</t>
  </si>
  <si>
    <t>blnajib@gmail.com</t>
  </si>
  <si>
    <t>MIND132023-1020</t>
  </si>
  <si>
    <t>KANKO ASSOCIATES</t>
  </si>
  <si>
    <t>matobbin@gmail.com</t>
  </si>
  <si>
    <t>CERViDA</t>
  </si>
  <si>
    <t>cervidadounedon@cervida-togo.org; koko.houedakor@gmail.com</t>
  </si>
  <si>
    <t xml:space="preserve">Federal Ministry of Water Resources and Sanitation </t>
  </si>
  <si>
    <t>eaugohe@gmail.com</t>
  </si>
  <si>
    <t>MIND132023-1027</t>
  </si>
  <si>
    <t>maduengr@yahoo.co.uk</t>
  </si>
  <si>
    <t>MIND132023-1028</t>
  </si>
  <si>
    <t>MINISTERE DE L'EAU ET DE L' ENERGIE/ CAMEROUN</t>
  </si>
  <si>
    <t>dagsiannemarie@yahoo.fr</t>
  </si>
  <si>
    <t>MIND132023-1029</t>
  </si>
  <si>
    <t>Athena Infonomics</t>
  </si>
  <si>
    <t>euniek@gmail.com</t>
  </si>
  <si>
    <t>Green Climate Fund</t>
  </si>
  <si>
    <t>Sweden</t>
  </si>
  <si>
    <t>kjellenmarianne@gmail.com</t>
  </si>
  <si>
    <t>MIND132023-1031</t>
  </si>
  <si>
    <t>South Sudan Urban Water Corporation</t>
  </si>
  <si>
    <t>Sudan</t>
  </si>
  <si>
    <t>magolgabriel@gmail.com</t>
  </si>
  <si>
    <t xml:space="preserve">École Polytechnique des Ingénieurs </t>
  </si>
  <si>
    <t>mamadyjuniorkallo@gmail.com</t>
  </si>
  <si>
    <t>MIND132023-1033</t>
  </si>
  <si>
    <t>IC AFRICA</t>
  </si>
  <si>
    <t>abdoulniang77@gmail.com</t>
  </si>
  <si>
    <t>MAFF122023-1022</t>
  </si>
  <si>
    <t>ImWATER TREATMENT PLANTS SL</t>
  </si>
  <si>
    <t xml:space="preserve">Spain </t>
  </si>
  <si>
    <t>info@imwater.es</t>
  </si>
  <si>
    <t>MACT112024-1035</t>
  </si>
  <si>
    <t xml:space="preserve">Loughborough University </t>
  </si>
  <si>
    <t>claydonmumba@gmail.com</t>
  </si>
  <si>
    <t xml:space="preserve">Groupe Famad </t>
  </si>
  <si>
    <t>groupefamadsarlu@gmail.com</t>
  </si>
  <si>
    <t xml:space="preserve">West'Eco limited </t>
  </si>
  <si>
    <t>S.nanga@westecolimited.com</t>
  </si>
  <si>
    <t>MIND132024-1038</t>
  </si>
  <si>
    <t>concept</t>
  </si>
  <si>
    <t>conceptcommercial@concept.com.tn ; i.nouri@concept.com.tn</t>
  </si>
  <si>
    <t>MAFF122023-1040</t>
  </si>
  <si>
    <t xml:space="preserve">Youth And Women for Opportunities Uganda / YWOU </t>
  </si>
  <si>
    <t xml:space="preserve">Uganda </t>
  </si>
  <si>
    <t>youthandwomenug@gmail.com</t>
  </si>
  <si>
    <t>Accra Technical University</t>
  </si>
  <si>
    <t>imensah@atu.edu.gh</t>
  </si>
  <si>
    <t>MIND132024-1042</t>
  </si>
  <si>
    <t>Universite Felix Houphouet Boigny</t>
  </si>
  <si>
    <t>kdongo8@gmail.com</t>
  </si>
  <si>
    <t>MIND132023-1044</t>
  </si>
  <si>
    <t xml:space="preserve">LIFE ONG </t>
  </si>
  <si>
    <t xml:space="preserve">France </t>
  </si>
  <si>
    <t>mouhamadou.gaye@life-ong.org</t>
  </si>
  <si>
    <t>MIND132023-1047</t>
  </si>
  <si>
    <t xml:space="preserve">Lusaka Water Supply and Sanitation Company </t>
  </si>
  <si>
    <t>lusungunyirenda@gmail.com</t>
  </si>
  <si>
    <t>MIND132023-1048</t>
  </si>
  <si>
    <t>City of Mutare</t>
  </si>
  <si>
    <t>Zimbabwe</t>
  </si>
  <si>
    <t>Mercymcc22@gmail.com</t>
  </si>
  <si>
    <t>MIND132023-1049</t>
  </si>
  <si>
    <t>Big 5 Africa</t>
  </si>
  <si>
    <t>Annabell.waititu@gmail.com</t>
  </si>
  <si>
    <t>Federal University of Technology Akure</t>
  </si>
  <si>
    <t>ooolusola-makinde@futa.edu.ng</t>
  </si>
  <si>
    <t>Funke Adepoju</t>
  </si>
  <si>
    <t>adepoju.funke@yahoo.com</t>
  </si>
  <si>
    <t>MIND132023-1052</t>
  </si>
  <si>
    <t xml:space="preserve">University of Eastern Africa Baraton </t>
  </si>
  <si>
    <t xml:space="preserve">The Democratic Republic of Congo </t>
  </si>
  <si>
    <t>zagabenelson@gmail.com</t>
  </si>
  <si>
    <t>MIND132024-1053</t>
  </si>
  <si>
    <t>Mind Valley Rwanda Ltd</t>
  </si>
  <si>
    <t>kamachant@gmail.com</t>
  </si>
  <si>
    <t>COMUS RDC</t>
  </si>
  <si>
    <t>omega.thigefrederic@gmail.com</t>
  </si>
  <si>
    <t>Rywp</t>
  </si>
  <si>
    <t>omarahisha@gmail.com</t>
  </si>
  <si>
    <t xml:space="preserve">Environmental Health Sciences </t>
  </si>
  <si>
    <t>itheogene5@gmail.com</t>
  </si>
  <si>
    <t xml:space="preserve">Kwara State University, Malete, Ilorin, Kwara state </t>
  </si>
  <si>
    <t>abigaelbankole98@gmail.com</t>
  </si>
  <si>
    <t xml:space="preserve">Université Catholique de Bukavu </t>
  </si>
  <si>
    <t>ntamulumeyenefidelie@gmail.com</t>
  </si>
  <si>
    <t>MIND132023-1059</t>
  </si>
  <si>
    <t xml:space="preserve">APPUI SOLIDARITE POUR LE RENFORCEMENT DE L'AIDE AU DEVELOPPEMENT (ONG ASRAD) </t>
  </si>
  <si>
    <t xml:space="preserve">Mali </t>
  </si>
  <si>
    <t>contact@ongasrad.org</t>
  </si>
  <si>
    <t>WILO SE</t>
  </si>
  <si>
    <t xml:space="preserve">Germany </t>
  </si>
  <si>
    <t>hennymarie.friedrich@wilo.com</t>
  </si>
  <si>
    <t>MAFF122024-1062</t>
  </si>
  <si>
    <t>ROCOBYGIE</t>
  </si>
  <si>
    <t xml:space="preserve">Cameroon </t>
  </si>
  <si>
    <t>sezaworaymond95@gmail.com</t>
  </si>
  <si>
    <t>MACT112023-1063</t>
  </si>
  <si>
    <t xml:space="preserve">UNIVERSITÉ LIBRE DE PAYS DE GRANDS LACS </t>
  </si>
  <si>
    <t>benjaminkoko232@gmail.com</t>
  </si>
  <si>
    <t>MIND132024-1064</t>
  </si>
  <si>
    <t>BG TRUCKS</t>
  </si>
  <si>
    <t>mehdibgtrucks@gmail.com</t>
  </si>
  <si>
    <t>MAFF122024-1071</t>
  </si>
  <si>
    <t xml:space="preserve">Université Cheikh Anta Diop de Dakar </t>
  </si>
  <si>
    <t xml:space="preserve">Senegal </t>
  </si>
  <si>
    <t>MIND132024-1072</t>
  </si>
  <si>
    <t xml:space="preserve">Catholic church </t>
  </si>
  <si>
    <t>njuanpetrus99@gmail.com</t>
  </si>
  <si>
    <t>Pan African University Institute for Water and Energy Sciences</t>
  </si>
  <si>
    <t xml:space="preserve">Swaziland </t>
  </si>
  <si>
    <t>ginacinisothuso@gmail.com; ciniso.gina@student.pauwes.dz</t>
  </si>
  <si>
    <t>MIND132024-1074</t>
  </si>
  <si>
    <t>Ihe Delft Institute for Water Education</t>
  </si>
  <si>
    <t>Netherlands</t>
  </si>
  <si>
    <t>merhinga@gmail.com</t>
  </si>
  <si>
    <t>MIND132024-1079</t>
  </si>
  <si>
    <t>JIN</t>
  </si>
  <si>
    <t>Namibia</t>
  </si>
  <si>
    <t>peterjohanna911@gmail.com</t>
  </si>
  <si>
    <t xml:space="preserve">WELYSIS INDUSTRIES, SL </t>
  </si>
  <si>
    <t>info@welysis.com</t>
  </si>
  <si>
    <t>MAFF122024-1085</t>
  </si>
  <si>
    <t xml:space="preserve">Université libre des pays des grands lacs </t>
  </si>
  <si>
    <t>charmingamini@gmail.com</t>
  </si>
  <si>
    <t>MIND132024-1088</t>
  </si>
  <si>
    <t xml:space="preserve">Institut de Génie de l'Environnement et de Développement Durable (IGEDD) </t>
  </si>
  <si>
    <t xml:space="preserve">Burkina Faso </t>
  </si>
  <si>
    <t>bsamouidi@gmail.com</t>
  </si>
  <si>
    <t>ETH Zurich</t>
  </si>
  <si>
    <t>Switzerland</t>
  </si>
  <si>
    <t>tilleye@ethz.ch</t>
  </si>
  <si>
    <t>Direction de l'Assainissement</t>
  </si>
  <si>
    <t>omardemba.sene@gmail.com</t>
  </si>
  <si>
    <t>Rwanda Water Resources Board</t>
  </si>
  <si>
    <t>ericumu@gmail.com</t>
  </si>
  <si>
    <t>MIND132024-1093</t>
  </si>
  <si>
    <t xml:space="preserve">Faculté de pharmacie université Félix Houphouet Boigny </t>
  </si>
  <si>
    <t>Jokebedakouo03@gmail.com</t>
  </si>
  <si>
    <t>MIND132024-1097</t>
  </si>
  <si>
    <t xml:space="preserve">University of Zambia </t>
  </si>
  <si>
    <t>tambwegabriel92@gmail.com</t>
  </si>
  <si>
    <t>Tana Water Works Development Agency</t>
  </si>
  <si>
    <t>mkigia@gmail.com</t>
  </si>
  <si>
    <t>Ministere de l'Eau et l'Energie</t>
  </si>
  <si>
    <t>socarolle@gmail.com</t>
  </si>
  <si>
    <t>KENYATTA University</t>
  </si>
  <si>
    <t>patriciamwanga@yahoo.com</t>
  </si>
  <si>
    <t>Technical University of Mombasa</t>
  </si>
  <si>
    <t>otienonixono@gmail.com</t>
  </si>
  <si>
    <t xml:space="preserve">Centre d'excellence d'Afrique pour l'Eau et l'Assainissement/Institut National de l'Eau </t>
  </si>
  <si>
    <t>theresemosange87@gmail.com</t>
  </si>
  <si>
    <t>MIND132024-1132</t>
  </si>
  <si>
    <t xml:space="preserve">Solidarités asbl </t>
  </si>
  <si>
    <t>solinte01@gmail.com</t>
  </si>
  <si>
    <t xml:space="preserve">Vusimuzi Cost Controllers </t>
  </si>
  <si>
    <t>vusi.mtimkulu@gmail.com</t>
  </si>
  <si>
    <t>francine.abiola@gmail.com</t>
  </si>
  <si>
    <t>MIND132024-1138</t>
  </si>
  <si>
    <t xml:space="preserve">Mount Kenya University </t>
  </si>
  <si>
    <t>kaigongimuchui@gmail.com</t>
  </si>
  <si>
    <t xml:space="preserve">Environmental Health and Sanitation Education </t>
  </si>
  <si>
    <t xml:space="preserve">Ghana </t>
  </si>
  <si>
    <t>nachipuanernest9009@gmail.com</t>
  </si>
  <si>
    <t xml:space="preserve">University of Cape Town </t>
  </si>
  <si>
    <t xml:space="preserve">South Africa </t>
  </si>
  <si>
    <t>korotsoanemamokitlane@gmail.com</t>
  </si>
  <si>
    <t xml:space="preserve">Institut National de l'Eau </t>
  </si>
  <si>
    <t>cypelattakoun@gmail.com</t>
  </si>
  <si>
    <t xml:space="preserve">Zambia </t>
  </si>
  <si>
    <t>khondowekane@yahoo.com</t>
  </si>
  <si>
    <t>GLOCOEX Sarl</t>
  </si>
  <si>
    <t>tohouindo12@gmail.com</t>
  </si>
  <si>
    <t xml:space="preserve">Technische Hochschule Cologne (MSc in IWRM) </t>
  </si>
  <si>
    <t>firstakuoko@gmail.com</t>
  </si>
  <si>
    <t>daobeng2012@uhas.edu.gh</t>
  </si>
  <si>
    <t>AFRIQUE FORAGES</t>
  </si>
  <si>
    <t>afriqueforages.ci@gmail.com</t>
  </si>
  <si>
    <t xml:space="preserve">Université d'Abomey Calavi (UAC-INE) </t>
  </si>
  <si>
    <t>braoul4@gmail.com</t>
  </si>
  <si>
    <t>Société des Eaux de Guinéé</t>
  </si>
  <si>
    <t>exonebakr@gmail.com</t>
  </si>
  <si>
    <t>Université Félix Houphouët-Boigny</t>
  </si>
  <si>
    <t>Claonstephane@gmail.com</t>
  </si>
  <si>
    <t>MIND132024-1155</t>
  </si>
  <si>
    <t xml:space="preserve">Higher Institute of Rural Development </t>
  </si>
  <si>
    <t>benjaminmwandulobaguma@gmail.com</t>
  </si>
  <si>
    <t xml:space="preserve">Université catholique de Bukavu </t>
  </si>
  <si>
    <t xml:space="preserve">Congo </t>
  </si>
  <si>
    <t>benjamincigohoerh@gmail.com</t>
  </si>
  <si>
    <t xml:space="preserve">Ethiopian Institute of Water Resources </t>
  </si>
  <si>
    <t xml:space="preserve">Ethiopia </t>
  </si>
  <si>
    <t>obsygudeta582@gmail.com</t>
  </si>
  <si>
    <t>Ethiopian institute of water resources</t>
  </si>
  <si>
    <t>sorome.o86@gmail.com</t>
  </si>
  <si>
    <t>aasosa international</t>
  </si>
  <si>
    <t>wash.consultant@yahoo.com</t>
  </si>
  <si>
    <t xml:space="preserve">Nigerian Defence Academy </t>
  </si>
  <si>
    <t>halimaidriso@gmail.com</t>
  </si>
  <si>
    <t xml:space="preserve">University of Maiduguri </t>
  </si>
  <si>
    <t>mali42333@gmail.com</t>
  </si>
  <si>
    <t>mohammedjali013@gmail.com</t>
  </si>
  <si>
    <t xml:space="preserve">FiW e.V / German Water Partnership </t>
  </si>
  <si>
    <t>Germany</t>
  </si>
  <si>
    <t>mail@manuel-krauss.de</t>
  </si>
  <si>
    <t>LVG</t>
  </si>
  <si>
    <t xml:space="preserve">Guinea </t>
  </si>
  <si>
    <t>diallolvg@gmail.com</t>
  </si>
  <si>
    <t>MACT112024-1208</t>
  </si>
  <si>
    <t>BILA GLOBAL SERVICES</t>
  </si>
  <si>
    <t>thomas86savadogo@gmail.com</t>
  </si>
  <si>
    <t>LARES</t>
  </si>
  <si>
    <t>assogbamelanie@yahoo.fr</t>
  </si>
  <si>
    <t>MIND132024-1275</t>
  </si>
  <si>
    <t>Socotec France</t>
  </si>
  <si>
    <t>oulegossionoe@yahoo.fr</t>
  </si>
  <si>
    <t>MIND132024-1276</t>
  </si>
  <si>
    <t xml:space="preserve">Membres Affiliés - Industriels (Non Africain) </t>
  </si>
  <si>
    <t>Barthauer Software GmbH</t>
  </si>
  <si>
    <t>a.belhajali@barthauer.de</t>
  </si>
  <si>
    <t>MAFF12024-1281</t>
  </si>
  <si>
    <t>Eau237</t>
  </si>
  <si>
    <t>cabrel80@yahoo.de</t>
  </si>
  <si>
    <t>MIND132024-1282</t>
  </si>
  <si>
    <t xml:space="preserve">Dschang </t>
  </si>
  <si>
    <t>j.kemleu.jgkt@gmail.com</t>
  </si>
  <si>
    <t>MAFF122024-1283</t>
  </si>
  <si>
    <t>IRCWASH</t>
  </si>
  <si>
    <t>mugwaneza.ben@gmail.com</t>
  </si>
  <si>
    <t>MIND132024-1284</t>
  </si>
  <si>
    <t xml:space="preserve">Université Evangélique en Afrique </t>
  </si>
  <si>
    <t>karanizg2018@gmail.com</t>
  </si>
  <si>
    <t>MIND132024-1286</t>
  </si>
  <si>
    <t>IHE INSTITUTE FOR WATER EDUCATION</t>
  </si>
  <si>
    <t>gutumule@gmail.com</t>
  </si>
  <si>
    <t>Faculty of Environmental Resources</t>
  </si>
  <si>
    <t>nyokabimureithi@gmail.com</t>
  </si>
  <si>
    <t>TUM School of Engineering and Design (ED)</t>
  </si>
  <si>
    <t>nderituteddy@gmail.com</t>
  </si>
  <si>
    <t>Ghana Water Limited (GWL)</t>
  </si>
  <si>
    <t>mkkofiloto@gwcl.com.gh</t>
  </si>
  <si>
    <t xml:space="preserve">Adama Town Water supply </t>
  </si>
  <si>
    <t>Ethiopia</t>
  </si>
  <si>
    <t>amarahmi374@gmail.com</t>
  </si>
  <si>
    <t>Université de Lomé</t>
  </si>
  <si>
    <t>l.komlan03@gmail.com</t>
  </si>
  <si>
    <t>Université Liege - Université Catholique Louvain</t>
  </si>
  <si>
    <t>snsouleye@gmail.com</t>
  </si>
  <si>
    <t>jules.chams@yahoo.fr</t>
  </si>
  <si>
    <t xml:space="preserve">Malawi University of Business and Applied Sciences </t>
  </si>
  <si>
    <t>Peacemug@gmail.com</t>
  </si>
  <si>
    <t xml:space="preserve">Bayero University Kano </t>
  </si>
  <si>
    <t>abdulmalikhusain@gmail.com</t>
  </si>
  <si>
    <t xml:space="preserve">Complexus btp </t>
  </si>
  <si>
    <t>complexusbtp@gmail.com</t>
  </si>
  <si>
    <t xml:space="preserve">Université de Dschang </t>
  </si>
  <si>
    <t>Chad</t>
  </si>
  <si>
    <t>mnourdjibrine10@gmail.com</t>
  </si>
  <si>
    <t>CONSORTIUM OSC FEMININIES</t>
  </si>
  <si>
    <t>edwigerita10@gmail.com</t>
  </si>
  <si>
    <t>MAFF122024-1331</t>
  </si>
  <si>
    <t>CUB (COMMUNAUTE URBAINE DE BERTOUA)</t>
  </si>
  <si>
    <t>rota2fr@yahoo.fr</t>
  </si>
  <si>
    <t>MACT112024-1332</t>
  </si>
  <si>
    <t>SOMAPEP-SA</t>
  </si>
  <si>
    <t>maiga4@yahoo.fr</t>
  </si>
  <si>
    <t>MIND132024-1333</t>
  </si>
  <si>
    <t>Institut Internation d'Ingénierie de l'Eau et de l'Assainissement - 2iE</t>
  </si>
  <si>
    <t>ckeikh.gueye@2ie-edu.org</t>
  </si>
  <si>
    <t>GGGI</t>
  </si>
  <si>
    <t>abdoulaye.faye@gggi.org</t>
  </si>
  <si>
    <t>MIND132024-1337</t>
  </si>
  <si>
    <t>University of Zululand</t>
  </si>
  <si>
    <t>Dukuzaa@dws.gov.za</t>
  </si>
  <si>
    <t>lcde.congo@gmail.com</t>
  </si>
  <si>
    <t>MACT112024-1340</t>
  </si>
  <si>
    <t>Nigerian Water Supply Association</t>
  </si>
  <si>
    <t>felicia.ngajiusibe@gmail.com</t>
  </si>
  <si>
    <t>MAFF122024-1341</t>
  </si>
  <si>
    <t>Plan International</t>
  </si>
  <si>
    <t>binakoudan.nkouba@planinternational.org</t>
  </si>
  <si>
    <t>MIND132024-1342</t>
  </si>
  <si>
    <t>PADIE</t>
  </si>
  <si>
    <t>koalinea@gmail.com</t>
  </si>
  <si>
    <t>MIND132024-1343</t>
  </si>
  <si>
    <t>African Rural Water Pro</t>
  </si>
  <si>
    <t>dmdakena@arwp-ingenierie.com</t>
  </si>
  <si>
    <t>MIND132024-1344</t>
  </si>
  <si>
    <t>Professionnel du Secteur</t>
  </si>
  <si>
    <t>tagba@yahoo.fr</t>
  </si>
  <si>
    <t>Individus</t>
  </si>
  <si>
    <t>tagbaassih2@gmail.com</t>
  </si>
  <si>
    <t>WASH R&amp;D Centre, University of KwaZulu-Natal</t>
  </si>
  <si>
    <t>anthonycodili@gmail.com; odilia@ukzn.ac.za</t>
  </si>
  <si>
    <t>MIND132024-1347</t>
  </si>
  <si>
    <t>TARABA STATE WATER AND SEWERAGE CORPORATION  (TAWASCO)</t>
  </si>
  <si>
    <t>info@tarabawaters.com.ng</t>
  </si>
  <si>
    <t>MACT112024-1348</t>
  </si>
  <si>
    <t>FEPEAR</t>
  </si>
  <si>
    <t>ntezifid@gmail.com</t>
  </si>
  <si>
    <t>MIND132025-1349</t>
  </si>
  <si>
    <t>Addis Ababa University</t>
  </si>
  <si>
    <t>adey.desta@gmail.com</t>
  </si>
  <si>
    <t xml:space="preserve">Institut National de l'eau de l'université d'Abomey-calavi </t>
  </si>
  <si>
    <t>naharatou@gmail.com</t>
  </si>
  <si>
    <t>MIND132024-1351</t>
  </si>
  <si>
    <t xml:space="preserve">Addis Ababa University </t>
  </si>
  <si>
    <t>Adey.feleke@aau.edu.et</t>
  </si>
  <si>
    <t xml:space="preserve">SAFE WATER SUPPLY COMPANY Ltd </t>
  </si>
  <si>
    <t>safewatersupplycompany@gmail.com</t>
  </si>
  <si>
    <t xml:space="preserve">Forum des Exploitants Privés des systèmes d’adduction d’Eau potables et d’Assainissement au Rwanda (FEPEAR) </t>
  </si>
  <si>
    <t>info@fepear.org</t>
  </si>
  <si>
    <t>fepear2011@gmail.com</t>
  </si>
  <si>
    <t xml:space="preserve">Institut International d'ingénierie de l'eau et de l'environnement 2iE </t>
  </si>
  <si>
    <t>yasbelem1@gmail.com</t>
  </si>
  <si>
    <t xml:space="preserve">Genie de l'Eau Assainissement et Aménagement Hydroagricole </t>
  </si>
  <si>
    <t>welhoorepalm@gmail.com</t>
  </si>
  <si>
    <t xml:space="preserve">ISABEE Université Ebolowa </t>
  </si>
  <si>
    <t>ugk203@gmail.com</t>
  </si>
  <si>
    <t xml:space="preserve">Chrispal Foundation Uganda </t>
  </si>
  <si>
    <t>chrispalfoundation@gmail.com</t>
  </si>
  <si>
    <t xml:space="preserve">Office des Lacs et Cours d'eau (OLAC) </t>
  </si>
  <si>
    <t>olac@olac.sn; madicke.diagne@olac.sn</t>
  </si>
  <si>
    <t>MACT11025-1362</t>
  </si>
  <si>
    <t>SOGEM- OMVS</t>
  </si>
  <si>
    <t>juchaber@gmail.com</t>
  </si>
  <si>
    <t>MIND132024-1363</t>
  </si>
  <si>
    <t>World Vision Ghana</t>
  </si>
  <si>
    <t>cephas_wedam@wvi.org</t>
  </si>
  <si>
    <t xml:space="preserve">UNIVERSITÉ DE DSCHANG </t>
  </si>
  <si>
    <t>kenfackalbert1996@gmail.com</t>
  </si>
  <si>
    <t>AYATEKE STAR COMPANY LTD</t>
  </si>
  <si>
    <t>ayatekestar@gmail.com</t>
  </si>
  <si>
    <t>MACT112024-1367</t>
  </si>
  <si>
    <t xml:space="preserve">Université Nangui Abrogoua </t>
  </si>
  <si>
    <t xml:space="preserve">Cote D'Ivoire </t>
  </si>
  <si>
    <t>gueufabricesai@gmail.com</t>
  </si>
  <si>
    <t xml:space="preserve">Self Employed </t>
  </si>
  <si>
    <t>muhumuzaemma1999@gmail.com</t>
  </si>
  <si>
    <t xml:space="preserve">ISABEE </t>
  </si>
  <si>
    <t>nunlapierrot@outlook.fr</t>
  </si>
  <si>
    <t>MIND132024-1402</t>
  </si>
  <si>
    <t>universitaire</t>
  </si>
  <si>
    <t>nsoemenguenestor@yahoo.fr</t>
  </si>
  <si>
    <t>ArabSoft</t>
  </si>
  <si>
    <t>Taha.triki@arabsoft.com.tn</t>
  </si>
  <si>
    <t>MAFF122024-1405</t>
  </si>
  <si>
    <t>Camara &amp; Partenaire (CAP)</t>
  </si>
  <si>
    <t>fodeabou@yahoo.fr</t>
  </si>
  <si>
    <t>VideoPositive</t>
  </si>
  <si>
    <t>mastou@yahoo.fr</t>
  </si>
  <si>
    <t>MIND132024-1413</t>
  </si>
  <si>
    <t>Dikubu Water Solutions</t>
  </si>
  <si>
    <t>gary@dikubu.co.za</t>
  </si>
  <si>
    <t>Urban Waters Consulting</t>
  </si>
  <si>
    <t>stefan.d.reuter@gmail.com</t>
  </si>
  <si>
    <t>MIND132024-1418</t>
  </si>
  <si>
    <t>Ministry of Water and Environment; Eastern Umbrella of Water and Sanitation</t>
  </si>
  <si>
    <t>enockpatrick16@gmail.com</t>
  </si>
  <si>
    <t>Sepia conseils</t>
  </si>
  <si>
    <t>ouattarahamed19@gmail.com</t>
  </si>
  <si>
    <t xml:space="preserve">Tetra Tech ARD </t>
  </si>
  <si>
    <t>mamadou.ouattara@tetratech.com</t>
  </si>
  <si>
    <t>safaa.fakorede@tetratech.com</t>
  </si>
  <si>
    <t>Régie Provinciale du Service Public de l'Eau du Nord-Kivu</t>
  </si>
  <si>
    <t>christianbarakantaligeza@gmail.com</t>
  </si>
  <si>
    <t>Plan International Togo</t>
  </si>
  <si>
    <t>binakoudan.nkouba@plan-international.org</t>
  </si>
  <si>
    <t>Drink Local Drink Tap</t>
  </si>
  <si>
    <t>erin@drinklocaldrinktap.org</t>
  </si>
  <si>
    <t>Aerzener Maschinenfabrik GmbH</t>
  </si>
  <si>
    <t>felix.meyer-horn@aerzen.com</t>
  </si>
  <si>
    <t>MAFF122025-1426</t>
  </si>
  <si>
    <t>Eawag</t>
  </si>
  <si>
    <t>george.wainaina@eawag.ch</t>
  </si>
  <si>
    <t>Network for Water and Sanitation (NETWAS)</t>
  </si>
  <si>
    <t>netwasuganda@gmail.com</t>
  </si>
  <si>
    <t xml:space="preserve">Phidate Consulting Engineers </t>
  </si>
  <si>
    <t>phideriamoyo@gmail.com</t>
  </si>
  <si>
    <t>MIND132024-1430</t>
  </si>
  <si>
    <t>Consultant indépendant</t>
  </si>
  <si>
    <t>kemupierre@gmail.com</t>
  </si>
  <si>
    <t>MIND132024-1435</t>
  </si>
  <si>
    <t>DIRECTION GENERALE DE L'ASSAINISSEMENT DES EAUX USEES ET EXCRETA</t>
  </si>
  <si>
    <t>tiendrejulienne@gmail.com</t>
  </si>
  <si>
    <t>MIND132024-1439</t>
  </si>
  <si>
    <t>Water Professionals International</t>
  </si>
  <si>
    <t>pbishop@gowpi.org</t>
  </si>
  <si>
    <t>IHE-Delft Institute for Water Education</t>
  </si>
  <si>
    <t>a.boakye-ansah@un-ihe.org</t>
  </si>
  <si>
    <t xml:space="preserve">Water For People </t>
  </si>
  <si>
    <t xml:space="preserve">United States </t>
  </si>
  <si>
    <t xml:space="preserve">SIAT Sénégal </t>
  </si>
  <si>
    <t>info@siat-senegal.com</t>
  </si>
  <si>
    <t>MAFF122024-1445</t>
  </si>
  <si>
    <t xml:space="preserve">University of Nairobi </t>
  </si>
  <si>
    <t xml:space="preserve">Niger </t>
  </si>
  <si>
    <t xml:space="preserve">gagara@un.rog; sgagara@gmail.com </t>
  </si>
  <si>
    <t>PUMPTECH LIMITED</t>
  </si>
  <si>
    <t>osman@pumptechgh.com</t>
  </si>
  <si>
    <t xml:space="preserve">SP-EAU </t>
  </si>
  <si>
    <t xml:space="preserve">larebanteb@gmail.com; massan.avumadi@sp-eau.tg ; sp-eau@sp-eau.tg </t>
  </si>
  <si>
    <t>Luapula Water supply &amp; Sanitation Company</t>
  </si>
  <si>
    <t>goldenmanyanga@gmail.com</t>
  </si>
  <si>
    <t xml:space="preserve">ASSOCIATION DES FEMMES PROFESSIONNELLES DE L'EAU ET DE L'ENVIRONNEMENT DU CAMEROUN (AFPEEC) </t>
  </si>
  <si>
    <t xml:space="preserve">gracekamby@yahoo.fr; christiane_ela34@yahoo.com </t>
  </si>
  <si>
    <t>MAFF122025-1451</t>
  </si>
  <si>
    <t>CLAIRE CORPORATE</t>
  </si>
  <si>
    <t>angelique.meriot@sainte-lizaigne.com</t>
  </si>
  <si>
    <t>MAFF122019-57</t>
  </si>
  <si>
    <t>MHA/IFAN</t>
  </si>
  <si>
    <t>gueyemica@yahoo.fr</t>
  </si>
  <si>
    <t>MIND132024-1453</t>
  </si>
  <si>
    <t>UNIVERSITE FELIX HOUPHOUET BOIGNY</t>
  </si>
  <si>
    <t>abenedicte.k@gmail.com</t>
  </si>
  <si>
    <t>MIND132025-1454</t>
  </si>
  <si>
    <t xml:space="preserve">DIRECTION DE L'ASSAINISSEMENT </t>
  </si>
  <si>
    <t>nafybabou@gmail.com</t>
  </si>
  <si>
    <t xml:space="preserve">MACT112025-1455
</t>
  </si>
  <si>
    <t>SODECI</t>
  </si>
  <si>
    <t>benjaminkouame1704@gmail.com</t>
  </si>
  <si>
    <t>MIND132025-1467</t>
  </si>
  <si>
    <t>Freelance</t>
  </si>
  <si>
    <t>gb.keller@outlook.com</t>
  </si>
  <si>
    <t>MIND132025-1450</t>
  </si>
  <si>
    <t xml:space="preserve">adja.babou@gmail.com; nafybabou@gmail.com
</t>
  </si>
  <si>
    <t>MACT112025-1455</t>
  </si>
  <si>
    <t>MAFF122025-1040</t>
  </si>
  <si>
    <t>Ecosense Solutions</t>
  </si>
  <si>
    <t>halimatou.diallo@ecosensesolutions.co</t>
  </si>
  <si>
    <t>MACT112025-1480</t>
  </si>
  <si>
    <t>Saint-Gobain PAM CANALISATION</t>
  </si>
  <si>
    <t>julien.guidat@saint-gobain.com</t>
  </si>
  <si>
    <t>MAFF122025-1481</t>
  </si>
  <si>
    <t>MIND132025-1337</t>
  </si>
  <si>
    <t>gattaba68@yahoo.fr</t>
  </si>
  <si>
    <t>MIND132025-1484</t>
  </si>
  <si>
    <t>WaterAid</t>
  </si>
  <si>
    <t>halidoukoanda@wateraid.org</t>
  </si>
  <si>
    <t>MIND132025-1485</t>
  </si>
  <si>
    <t xml:space="preserve">Sierra Leone Electricity and Water Regulatory Commission </t>
  </si>
  <si>
    <t xml:space="preserve">Sierra Leone </t>
  </si>
  <si>
    <t xml:space="preserve">samasandy@ewrc.gov.sl; Samasandy2112@gmail.com </t>
  </si>
  <si>
    <t>Direction Assainissement/Etat Sénégal</t>
  </si>
  <si>
    <t>emmanueldiatta55@gmail.com</t>
  </si>
  <si>
    <t>MIND132025-1499</t>
  </si>
  <si>
    <t>SOCIETE DE GESTION DES DÉCHETS ET DE LA SALUBRITÉ</t>
  </si>
  <si>
    <t>dbabalola@sgds.bj</t>
  </si>
  <si>
    <t>MIND132025-1439</t>
  </si>
  <si>
    <t>SOMAGEP-SA</t>
  </si>
  <si>
    <t>aboubacar.n.d@gmail.com</t>
  </si>
  <si>
    <t>MIND132025-1503</t>
  </si>
  <si>
    <t>Morocco</t>
  </si>
  <si>
    <t>lahcen1hasnaoui@gmail.com</t>
  </si>
  <si>
    <t>MIND132025-1504</t>
  </si>
  <si>
    <t xml:space="preserve">Eawag </t>
  </si>
  <si>
    <t xml:space="preserve">Switzerland </t>
  </si>
  <si>
    <t>MACT112025-1507</t>
  </si>
  <si>
    <t>SENEAU</t>
  </si>
  <si>
    <t>j.bianquinch@yahoo.fr</t>
  </si>
  <si>
    <t>Prana Water and Sanitation</t>
  </si>
  <si>
    <t>letsatsi@prana-ws.co.za</t>
  </si>
  <si>
    <t>thika water</t>
  </si>
  <si>
    <t>mkiemo@thikawater.co.ke</t>
  </si>
  <si>
    <t>IHE Delft</t>
  </si>
  <si>
    <t>asbajus@gmail.com</t>
  </si>
  <si>
    <t>WASAC Group</t>
  </si>
  <si>
    <t>fgatanazi@wasac.rw</t>
  </si>
  <si>
    <t>MACT112025-1513</t>
  </si>
  <si>
    <t>La Nigérienne des Eaux</t>
  </si>
  <si>
    <t xml:space="preserve">manzo.laminou@niger-nde.com; courrier.nde@niger-nde.com </t>
  </si>
  <si>
    <t>MACT112025-1514</t>
  </si>
  <si>
    <t>Ethiopia Urban WASH project</t>
  </si>
  <si>
    <t>MIND132025-469</t>
  </si>
  <si>
    <t>COMMUNE CAMEROUN FOKOUE</t>
  </si>
  <si>
    <t>Azdemenou@gmail.com</t>
  </si>
  <si>
    <t>MACT112025-1516</t>
  </si>
  <si>
    <t>DAVIS AND SHIRTLIFF (Z) LTD</t>
  </si>
  <si>
    <t>chitunduchitundu@gmail.com</t>
  </si>
  <si>
    <t>MACT112025-958</t>
  </si>
  <si>
    <t xml:space="preserve">Demenou tapamo Adrienne </t>
  </si>
  <si>
    <t>Addydemenou@gmail.com</t>
  </si>
  <si>
    <t>MIND132025-1520</t>
  </si>
  <si>
    <t>Individual</t>
  </si>
  <si>
    <t>nayir5648@gmail.com</t>
  </si>
  <si>
    <t>Individual Member</t>
  </si>
  <si>
    <t>ijeagbo@gmail.com</t>
  </si>
  <si>
    <t>MIND132025-1522</t>
  </si>
  <si>
    <t>CRAIDD</t>
  </si>
  <si>
    <t>douanlalaure22@gmail.com</t>
  </si>
  <si>
    <t xml:space="preserve">MIND132025-1523
</t>
  </si>
  <si>
    <t>ISE</t>
  </si>
  <si>
    <t>mou.ou93@gmail.com</t>
  </si>
  <si>
    <t>MIND132025-1524</t>
  </si>
  <si>
    <t>ILERDAGUA SL</t>
  </si>
  <si>
    <t>Spain</t>
  </si>
  <si>
    <t>jagomez@ilerdagua.com</t>
  </si>
  <si>
    <t xml:space="preserve">Association of Gambia Sanitation Actors </t>
  </si>
  <si>
    <t xml:space="preserve">Gambia </t>
  </si>
  <si>
    <t xml:space="preserve">lftambajang@yahoo.com; omcsay@gmail.com </t>
  </si>
  <si>
    <t>HOREB SARL</t>
  </si>
  <si>
    <t>jeanbedeladon@gmail.com</t>
  </si>
  <si>
    <t>MIND132025-1527</t>
  </si>
  <si>
    <t>mineddte</t>
  </si>
  <si>
    <t>christjeriel@gmail.com</t>
  </si>
  <si>
    <t>MIND132025-1528</t>
  </si>
  <si>
    <t>GREAT AT VISION GROUP</t>
  </si>
  <si>
    <t xml:space="preserve">Burundi </t>
  </si>
  <si>
    <t>ndabigenadine@gmail.com</t>
  </si>
  <si>
    <t>MACT112025-1529</t>
  </si>
  <si>
    <t xml:space="preserve">Ekiti State Water and Sanitation Regulatory Agency </t>
  </si>
  <si>
    <t>wasra@ekitistate.org.ng</t>
  </si>
  <si>
    <t xml:space="preserve">Institut 2iE </t>
  </si>
  <si>
    <t xml:space="preserve">Benin </t>
  </si>
  <si>
    <t>abdonkinglo@gmail.com</t>
  </si>
  <si>
    <t>MIND132025-1531</t>
  </si>
  <si>
    <t>bengalyfode413@gmail.com</t>
  </si>
  <si>
    <t>MIND132025-1532</t>
  </si>
  <si>
    <t xml:space="preserve">Paratronic </t>
  </si>
  <si>
    <t>tquist70@gmail.com</t>
  </si>
  <si>
    <t>MIND132025-1533</t>
  </si>
  <si>
    <t>Independent</t>
  </si>
  <si>
    <t>abigaelbankole3@gmail.com</t>
  </si>
  <si>
    <t>MIND132025-1534</t>
  </si>
  <si>
    <t>ongmembadrienne@yahoo.fr</t>
  </si>
  <si>
    <t>MIND132025-1535</t>
  </si>
  <si>
    <t>TdE</t>
  </si>
  <si>
    <t>ntene2168@gmail.com</t>
  </si>
  <si>
    <t xml:space="preserve">MIND132025-1536
</t>
  </si>
  <si>
    <t>SOLYD SA</t>
  </si>
  <si>
    <t>badradine.eljazouly@solyd.com</t>
  </si>
  <si>
    <t>Dev-Afrique Development Advisors</t>
  </si>
  <si>
    <t>team@wshdatalabs.com</t>
  </si>
  <si>
    <t>Indépendant</t>
  </si>
  <si>
    <t>mpekeyi@gmail.com</t>
  </si>
  <si>
    <t>MIND132025-1539</t>
  </si>
  <si>
    <t>Lilongwe City Council, Malawi</t>
  </si>
  <si>
    <t>MCHIPHATHOMAS@YAHOO.CO.UK</t>
  </si>
  <si>
    <t>MIND132025-1540</t>
  </si>
  <si>
    <t>Malawi Housing Corporation</t>
  </si>
  <si>
    <t>fyothi@gmail.com</t>
  </si>
  <si>
    <t>MIND132025-1541</t>
  </si>
  <si>
    <t>Commune de Kozah 3</t>
  </si>
  <si>
    <t>com_kozah@yahoo.com</t>
  </si>
  <si>
    <t>pissiyou@yahoo.fr</t>
  </si>
  <si>
    <t>MIND132025-1543</t>
  </si>
  <si>
    <t>NDE</t>
  </si>
  <si>
    <t>ramatoulaye.sory@niger-nde.com</t>
  </si>
  <si>
    <t>MIND132025-1544</t>
  </si>
  <si>
    <t>brilliant sanitation uganda ltd</t>
  </si>
  <si>
    <t>mutesishakirah265@gmail.com</t>
  </si>
  <si>
    <t>koubonousamba6@gmail.com</t>
  </si>
  <si>
    <t>MIND132025-1546</t>
  </si>
  <si>
    <t>Mairie d'Anyama</t>
  </si>
  <si>
    <t>b.akemathieu@gmail.com</t>
  </si>
  <si>
    <t>MIND132025-1547</t>
  </si>
  <si>
    <t>Port Harcourt Water Corporation</t>
  </si>
  <si>
    <t>ibibiawalter2015@gmail.com</t>
  </si>
  <si>
    <t>MACT112025-1548</t>
  </si>
  <si>
    <t>SONES</t>
  </si>
  <si>
    <t>Yakharaware16@gmail.com</t>
  </si>
  <si>
    <t>MAETUR</t>
  </si>
  <si>
    <t>augustinelimshu@outlook.com</t>
  </si>
  <si>
    <t>Madagascar</t>
  </si>
  <si>
    <t>Henintsoa@wateraid.org</t>
  </si>
  <si>
    <t>ISABEE</t>
  </si>
  <si>
    <t>MIND132025-1552</t>
  </si>
  <si>
    <t>Bayero University Kano</t>
  </si>
  <si>
    <t>MIND132025-1553</t>
  </si>
  <si>
    <t>BUHIGWE DISTRICT COUNCIL</t>
  </si>
  <si>
    <t>jtindetenga@gmail.com</t>
  </si>
  <si>
    <t>Université Félix Houphouët Boigny</t>
  </si>
  <si>
    <t>koukougnonodd@gmail.com</t>
  </si>
  <si>
    <t>MIND132025-1555</t>
  </si>
  <si>
    <t>Alioune Diop University, Bambey</t>
  </si>
  <si>
    <t>coura.kane@uadb.edu.sn</t>
  </si>
  <si>
    <t>MIND132025-1556</t>
  </si>
  <si>
    <t>UNIVERSITE LOROUGNON GUEDE DE DALOA COTE D'IVOIRE</t>
  </si>
  <si>
    <t>a.timite@yahoo.fr</t>
  </si>
  <si>
    <t>MIND132025-1557</t>
  </si>
  <si>
    <t>Université de N'Djaména</t>
  </si>
  <si>
    <t>mnourabdallah@gmail.com</t>
  </si>
  <si>
    <t>MIND132025-1558</t>
  </si>
  <si>
    <t>Université Abdou Moumoubi</t>
  </si>
  <si>
    <t>emck12@yahoo.fr</t>
  </si>
  <si>
    <t>MIND132025-1559</t>
  </si>
  <si>
    <t>Colan Consult</t>
  </si>
  <si>
    <t>alfred.amoako@yahoo.com</t>
  </si>
  <si>
    <t>MIND132025-1560</t>
  </si>
  <si>
    <t>denislekemo96@gmail.com</t>
  </si>
  <si>
    <t>MIND132025-1561</t>
  </si>
  <si>
    <t>CIRA SAS  Conseil Ingénierie et Recherche Appliquée</t>
  </si>
  <si>
    <t>ahassakouameolivier@gmail.com</t>
  </si>
  <si>
    <t>MIND132025-1562</t>
  </si>
  <si>
    <t>TIANJIN KAIFENG CHEMICAL CO.,LTD.</t>
  </si>
  <si>
    <t xml:space="preserve">China </t>
  </si>
  <si>
    <t>liufy@kfchem.com</t>
  </si>
  <si>
    <t>MAFF122025-1563</t>
  </si>
  <si>
    <t>Kiambu Water and Sewerage Company Limited</t>
  </si>
  <si>
    <t>josephkiaraini@gmail.com</t>
  </si>
  <si>
    <t xml:space="preserve">Enugu State water corporation Enugu State Nigeria </t>
  </si>
  <si>
    <t>ijeagbo36@gmail.com</t>
  </si>
  <si>
    <t>MIND132025-1565</t>
  </si>
  <si>
    <t xml:space="preserve">Kotebe university of Education </t>
  </si>
  <si>
    <t>getachewdagn@yahoo.com</t>
  </si>
  <si>
    <t>MIND132025-1566</t>
  </si>
  <si>
    <t>Hydro-Comp Enterprises Ltd</t>
  </si>
  <si>
    <t>Cyprus</t>
  </si>
  <si>
    <t>info@edams.com</t>
  </si>
  <si>
    <t>MACT112025-1569</t>
  </si>
  <si>
    <t>Yme GRANDS LACS</t>
  </si>
  <si>
    <t>desyketu2@gmail.com</t>
  </si>
  <si>
    <t>MAFF122025-1568</t>
  </si>
  <si>
    <t>nepomus91@gmail.com</t>
  </si>
  <si>
    <t>MIND132025-1571</t>
  </si>
  <si>
    <t>Yme JIBU SA</t>
  </si>
  <si>
    <t>contact@ymejibu.com; jack.kahorha@ymejibu.com</t>
  </si>
  <si>
    <t>MACT112025-1572</t>
  </si>
  <si>
    <t>MAIRIE ANYAMA</t>
  </si>
  <si>
    <t>mairieanyama@gmail.com; haidara.siasso@gmail.com</t>
  </si>
  <si>
    <t>Willfar Iinformation Technology Co.,Ltd</t>
  </si>
  <si>
    <t>ziziselina@willfar.com</t>
  </si>
  <si>
    <t>OFFICE NATIONAL DE L'EAU POTABLE</t>
  </si>
  <si>
    <t>djelarissa@yahoo.fr</t>
  </si>
  <si>
    <t>MIND132025-1576</t>
  </si>
  <si>
    <t>DBMS</t>
  </si>
  <si>
    <t>degoga_bakari@yahoo.com</t>
  </si>
  <si>
    <t>MIND132025-1577</t>
  </si>
  <si>
    <t>INFAS</t>
  </si>
  <si>
    <t>degoga67@gmail.com</t>
  </si>
  <si>
    <t>MIND132025-1578</t>
  </si>
  <si>
    <t>EDS INTERNATIONAL</t>
  </si>
  <si>
    <t>eds.eds.ingenierie@gmail.com</t>
  </si>
  <si>
    <t>MAFF122025-1579</t>
  </si>
  <si>
    <t>AAAS</t>
  </si>
  <si>
    <t>khady345@icloud.com</t>
  </si>
  <si>
    <t>MIND132025-946</t>
  </si>
  <si>
    <t>Caprari Spa</t>
  </si>
  <si>
    <t>Italy</t>
  </si>
  <si>
    <t>s.marconi@caprari.it</t>
  </si>
  <si>
    <t>MAFF122025-1583</t>
  </si>
  <si>
    <t>KIsumu Water and Sanitation Company ltd</t>
  </si>
  <si>
    <t>eldahodongo@gmail.com</t>
  </si>
  <si>
    <t>MIND132025-1586</t>
  </si>
  <si>
    <t>Pan African Consortium of Experts</t>
  </si>
  <si>
    <t>seydina.sene@pace-experts.org</t>
  </si>
  <si>
    <t>Institut Supérieur d'Agriculture du bois de l'eau et de l'environnement</t>
  </si>
  <si>
    <t>rayimdjou78@gmail.com</t>
  </si>
  <si>
    <t xml:space="preserve"> MIND132025-1588</t>
  </si>
  <si>
    <t>MAJI NYUMBANI/SARL</t>
  </si>
  <si>
    <t>ilungalidor@googlemail.com</t>
  </si>
  <si>
    <t>MACT112025-1590</t>
  </si>
  <si>
    <t>Women in Water utilities(WIWU)</t>
  </si>
  <si>
    <t>alicebakiki@gmail.com</t>
  </si>
  <si>
    <t>MIND132025-1591</t>
  </si>
  <si>
    <t>Tokyo Water Co., Ltd</t>
  </si>
  <si>
    <t>Japan</t>
  </si>
  <si>
    <t>pyoji@ozzio.jp</t>
  </si>
  <si>
    <t>MIND132025-1592</t>
  </si>
  <si>
    <t>KASHWASA</t>
  </si>
  <si>
    <t>pnzamba@gmail.com</t>
  </si>
  <si>
    <t>Complexes Btp</t>
  </si>
  <si>
    <t>complexusbtb@gmail.com</t>
  </si>
  <si>
    <t>MIND132025-1594</t>
  </si>
  <si>
    <t>ERCI SARL</t>
  </si>
  <si>
    <t>ercisarl2@gmail.com</t>
  </si>
  <si>
    <t>MIND132025-1595</t>
  </si>
  <si>
    <t>Trans Africa</t>
  </si>
  <si>
    <t>cheikhmbengue565@gmail.com</t>
  </si>
  <si>
    <t>ndiourenvi@gmail.com</t>
  </si>
  <si>
    <t>SOMAPEP SA</t>
  </si>
  <si>
    <t>traorefatimhelene@yahoo.fr</t>
  </si>
  <si>
    <t>MIND132025-1599</t>
  </si>
  <si>
    <t>Instituto Superior de Ciências e Tecnologia de Moçambique (ISCTEM)</t>
  </si>
  <si>
    <t>jfaztudo@fipag.co.mz</t>
  </si>
  <si>
    <t>NWSC</t>
  </si>
  <si>
    <t>mawenuevie@gmail.com</t>
  </si>
  <si>
    <t>MACT112025-1602</t>
  </si>
  <si>
    <t>Ministère de l'Hydraulique, de l'Assainissement et de la Salubrité</t>
  </si>
  <si>
    <t>behi_f@yahoo.fr</t>
  </si>
  <si>
    <t>MIND132025-1603</t>
  </si>
  <si>
    <t>Universte Felix Houphouet Boigny</t>
  </si>
  <si>
    <t>Join For Water</t>
  </si>
  <si>
    <t>vanessa.thompson@joinforwater.ngo</t>
  </si>
  <si>
    <t>MAFF122025-1605</t>
  </si>
  <si>
    <t>Indian Institute of Technlogy Roorkee</t>
  </si>
  <si>
    <t>malachiensanzugwimo94@gmail.com</t>
  </si>
  <si>
    <t>MIND132025-1606</t>
  </si>
  <si>
    <t>Institute(Pan African University)</t>
  </si>
  <si>
    <t>niyojeannette5@gmail.com</t>
  </si>
  <si>
    <t>Stellenbosch University</t>
  </si>
  <si>
    <t>ashleynolwazym@gmail.com</t>
  </si>
  <si>
    <t>Université Jean LOROUGNON GUEDE (UJLoG)</t>
  </si>
  <si>
    <t>martin_kouame@yahoo.fr</t>
  </si>
  <si>
    <t>MAFF122025-1609</t>
  </si>
  <si>
    <t>feudjiotemegneparfait@gmail.com</t>
  </si>
  <si>
    <t>German Water Parternship / FiW e.V.</t>
  </si>
  <si>
    <t>krauss@fiw.rwth-aachen.de</t>
  </si>
  <si>
    <t>MIND13-20251615</t>
  </si>
  <si>
    <t>School of Public Leadership</t>
  </si>
  <si>
    <t>27642445@sun.ac.za</t>
  </si>
  <si>
    <t>MIND132025-1618</t>
  </si>
  <si>
    <t>SONABEL</t>
  </si>
  <si>
    <t>nebilmajerome.bazongo@gmail.com</t>
  </si>
  <si>
    <t>MIND132025-1619</t>
  </si>
  <si>
    <t xml:space="preserve">Université Nationale des Sciences Technologies Ingénierie et Mathématiques </t>
  </si>
  <si>
    <t>maninhou29@gmail.com</t>
  </si>
  <si>
    <t xml:space="preserve">Togolaise des Eaux </t>
  </si>
  <si>
    <t>aguikote@gmail.com</t>
  </si>
  <si>
    <t xml:space="preserve">University of maiduguri </t>
  </si>
  <si>
    <t>zainabbalqisgimba@gmail.com</t>
  </si>
  <si>
    <t>abubakargoniadam006@gmail.com</t>
  </si>
  <si>
    <t>GSTP</t>
  </si>
  <si>
    <t>MIND132025-1624</t>
  </si>
  <si>
    <t>Ecole Nationale Supérieure d'Agriculture</t>
  </si>
  <si>
    <t>smamanmbeugue@gmail.com</t>
  </si>
  <si>
    <t>MIND132025-1625</t>
  </si>
  <si>
    <t>Hebei Shanghong Meters Technology Co., Ltd</t>
  </si>
  <si>
    <t>marketing@shmeters.com</t>
  </si>
  <si>
    <t>MAFF122025-1626</t>
  </si>
  <si>
    <t>Unicef, Ministère de la Santé Publique</t>
  </si>
  <si>
    <t>bertingeleka29@gmail.com</t>
  </si>
  <si>
    <t>Whave Solutions</t>
  </si>
  <si>
    <t>info@whave.org; alexandra.staples@whave.org</t>
  </si>
  <si>
    <t>MAFF122025-1628</t>
  </si>
  <si>
    <t>Action pour le Développement Durable au Congo</t>
  </si>
  <si>
    <t>benjaminmapendo97@gmail.com</t>
  </si>
  <si>
    <t>MIND132025-1629</t>
  </si>
  <si>
    <t xml:space="preserve">Université Pédagogique Nationale </t>
  </si>
  <si>
    <t>malumbedelson@yahoo.fr</t>
  </si>
  <si>
    <t>MIND132025-1630</t>
  </si>
  <si>
    <t>NativWaters</t>
  </si>
  <si>
    <t>Botswana</t>
  </si>
  <si>
    <t>chuchuthabo.tbc@gmail.com</t>
  </si>
  <si>
    <t>MeruUniversityofScienceandTechnology</t>
  </si>
  <si>
    <t>jriungu@must.ac.ke</t>
  </si>
  <si>
    <t>MACT112025-1632</t>
  </si>
  <si>
    <t>Réseau Africain des Médias pour le WASH / Cadre de Réflexion et d'Action des Journalistes sur l'Hygiène; l'Eau et l'Assainissement</t>
  </si>
  <si>
    <t>moussabambata@gmail.com</t>
  </si>
  <si>
    <t>MIND132025-1633</t>
  </si>
  <si>
    <t xml:space="preserve">Ministry of Water and Energy </t>
  </si>
  <si>
    <t>hanmek1213@gmail.com</t>
  </si>
  <si>
    <t>MIND132025-1634</t>
  </si>
  <si>
    <t>NIGER BASIN AUTHORITY</t>
  </si>
  <si>
    <t>wbolatunji@gmail.com</t>
  </si>
  <si>
    <t>INSTITUT NATIONAL DE L'EAU / CENTRE D'EXCELLENCE D'AFRIQUE POUR L'EAU ET L'ASSAINISSEMENT</t>
  </si>
  <si>
    <t>mahamatmoussamallo@gmail.com</t>
  </si>
  <si>
    <t>Agence de presse AFREEPRESS</t>
  </si>
  <si>
    <t>agenceafreepress@gmail.com</t>
  </si>
  <si>
    <t>MIND132025-1637</t>
  </si>
  <si>
    <t xml:space="preserve">XAM-XAM CONSULTING </t>
  </si>
  <si>
    <t>papsambadiop@gmail.com</t>
  </si>
  <si>
    <t>RAM-WASH</t>
  </si>
  <si>
    <t>julesgano@gmail.com</t>
  </si>
  <si>
    <t>MIND132025-1640</t>
  </si>
  <si>
    <t>INSTITUT INTERNATIONAL D'INGENIERIE DE L'EAU ET DE L'ENVIRONNEMENT</t>
  </si>
  <si>
    <t>mohamednazhyr@gmail.com</t>
  </si>
  <si>
    <t>MIND132025-1641</t>
  </si>
  <si>
    <t>Institute of Geosciences and Environmental Management, Rivers State University</t>
  </si>
  <si>
    <t>cookeypeter@gmail.com</t>
  </si>
  <si>
    <t>INSTITUT REGIONAL AFRICAIN DES SCIENCES ET TECHNOLOGIES DE L’INFORMATION GEOSPATIALE ( AFRIGIST)</t>
  </si>
  <si>
    <t>coulidiatyoumpounini@gmail.com</t>
  </si>
  <si>
    <t>papsambadiop@gmailcom</t>
  </si>
  <si>
    <t>MIND132025-1644</t>
  </si>
  <si>
    <t>Direction générale de l'assainissement des eaux usées et excreta</t>
  </si>
  <si>
    <t>raketa_oued@yahoo.fr</t>
  </si>
  <si>
    <t>Association Cycl'Eau</t>
  </si>
  <si>
    <t>jc.lasserre@cycleau.fr</t>
  </si>
  <si>
    <t>MAFF122025-1646</t>
  </si>
  <si>
    <t>Université Iba Der Thiam de Thiès</t>
  </si>
  <si>
    <t>palybousso6@gmail.com</t>
  </si>
  <si>
    <t>MIND132025-1648</t>
  </si>
  <si>
    <t>Membre d'honneur</t>
  </si>
  <si>
    <t>MEMBRE HONNEUR</t>
  </si>
  <si>
    <t>kondwani.temwa@gmail.com</t>
  </si>
  <si>
    <t>0.00</t>
  </si>
  <si>
    <t xml:space="preserve">Hallmark Limited </t>
  </si>
  <si>
    <t>engineering@hallmark.mw</t>
  </si>
  <si>
    <t>TMS-CA</t>
  </si>
  <si>
    <t>j.kuate@tms-centralafrica.com</t>
  </si>
  <si>
    <t>STE Tchad</t>
  </si>
  <si>
    <t>youskouyou@gmail.com</t>
  </si>
  <si>
    <t>MACT112019-29</t>
  </si>
  <si>
    <t xml:space="preserve">Institut National de l'Eau de l'université d'Abomey -Calavi </t>
  </si>
  <si>
    <t>kossigildastodi@gmail.com</t>
  </si>
  <si>
    <t>Northern Region Water Board</t>
  </si>
  <si>
    <t>kawiluwilu@nrwb.org.mw</t>
  </si>
  <si>
    <t>aissatou5.geueye@ucad.edu.sn</t>
  </si>
  <si>
    <t>aissatou5.gueye@ucad.edu.sn</t>
  </si>
  <si>
    <t>kimathi.alec@gmail.com</t>
  </si>
  <si>
    <t>Institut International d'Ingenierie de l'Eau et de l'Environnement - Institut 2iE</t>
  </si>
  <si>
    <t>Kericho Water and Sanitation Company</t>
  </si>
  <si>
    <t>info@kewasco.co.ke</t>
  </si>
  <si>
    <t>Centre d'Excellence d'Afrique pour l'Eau et l'Assainissement (C2EA)</t>
  </si>
  <si>
    <t>djidjoho07@gmail.com</t>
  </si>
  <si>
    <t>TEREA</t>
  </si>
  <si>
    <t>guslinomeme@gmail.com</t>
  </si>
  <si>
    <t>ACADEMIE FIPAG</t>
  </si>
  <si>
    <t>fipag.academia@fipag.co.mz;ksick@fipag.co.mz</t>
  </si>
  <si>
    <t>KIWASCO</t>
  </si>
  <si>
    <t>jobunga@kiwasco.co.ke</t>
  </si>
  <si>
    <t>MIND132025-1663</t>
  </si>
  <si>
    <t xml:space="preserve">Meru university of Science and Technology </t>
  </si>
  <si>
    <t>kiprono79@gmail.com</t>
  </si>
  <si>
    <t>MIND132025-1664</t>
  </si>
  <si>
    <t>Vivaka91@gmail.com</t>
  </si>
  <si>
    <t>MIND132025-1665</t>
  </si>
  <si>
    <t>Meru University of Science and Technology</t>
  </si>
  <si>
    <t>oumavyncent@gmail.com</t>
  </si>
  <si>
    <t>MIND132025-1666</t>
  </si>
  <si>
    <t>simonirungu47@gmail.com</t>
  </si>
  <si>
    <t>MIND132025-1667</t>
  </si>
  <si>
    <t>UNIVERSITY OF NAIROBI - SCHOOL OF OPEN AND DISTANCE LEARNING</t>
  </si>
  <si>
    <t>priscillaholuoch@gmail.com</t>
  </si>
  <si>
    <t>MIND132025-1668</t>
  </si>
  <si>
    <t>gilbertkatana@gmail.com</t>
  </si>
  <si>
    <t>MIND132025-1669</t>
  </si>
  <si>
    <t>jkomondi@yahoo.com</t>
  </si>
  <si>
    <t>MIND132025-1670</t>
  </si>
  <si>
    <t>wanguilucywairimu@gmail.com</t>
  </si>
  <si>
    <t>MIND132025-1671</t>
  </si>
  <si>
    <t>evanskim669@gmail.com</t>
  </si>
  <si>
    <t>MIND132025-1672</t>
  </si>
  <si>
    <t>frednguta90@gmail.com</t>
  </si>
  <si>
    <t>MIND132025-1673</t>
  </si>
  <si>
    <t>irungusan@gmail.com</t>
  </si>
  <si>
    <t>MIND132025-1675</t>
  </si>
  <si>
    <t>Université Senghor</t>
  </si>
  <si>
    <t>samson.ahadi.2024@etu-usenghor.org</t>
  </si>
  <si>
    <t xml:space="preserve"> MIND132025-1676</t>
  </si>
  <si>
    <t>African Ministers Council on Water</t>
  </si>
  <si>
    <t>ckanshio@amcow-online.org</t>
  </si>
  <si>
    <t>wangari.leah100@gmail.com</t>
  </si>
  <si>
    <t>MIND132025-1678</t>
  </si>
  <si>
    <t>jemimahsibonje96@gmail.com</t>
  </si>
  <si>
    <t>MIND132025-1680</t>
  </si>
  <si>
    <t>Bahrain</t>
  </si>
  <si>
    <t>gouli2580@gmail.com</t>
  </si>
  <si>
    <t>MIND132025-1681</t>
  </si>
  <si>
    <t>margaretksunguti@gmail.com</t>
  </si>
  <si>
    <t>MIND132025-1682</t>
  </si>
  <si>
    <t>paulkimathi13@gmail.com</t>
  </si>
  <si>
    <t>MIND132025-1683</t>
  </si>
  <si>
    <t>njehuchris@gmail.com</t>
  </si>
  <si>
    <t>MIND132025-1684</t>
  </si>
  <si>
    <t>KKIUGU70@GMAIL.COM</t>
  </si>
  <si>
    <t>MIND132025-1685</t>
  </si>
  <si>
    <t>lmworia@must.ac.ke</t>
  </si>
  <si>
    <t>MIND132025-1686</t>
  </si>
  <si>
    <t>Jacmuthamia@gmail.com</t>
  </si>
  <si>
    <t>MIND132025-1687</t>
  </si>
  <si>
    <t>orondobush@yahoo.com</t>
  </si>
  <si>
    <t>MIND132025-1688</t>
  </si>
  <si>
    <t>bernashepherd@gmail.com</t>
  </si>
  <si>
    <t>MIND132025-1689</t>
  </si>
  <si>
    <t>muthonisusan277@gmail.com</t>
  </si>
  <si>
    <t>MIND132025-2025</t>
  </si>
  <si>
    <t>muthonisusan@must.ac.ke</t>
  </si>
  <si>
    <t>wannewanjiru@gmail.com</t>
  </si>
  <si>
    <t>MIND132025-1692</t>
  </si>
  <si>
    <t>lizmbui2000@gmail.com</t>
  </si>
  <si>
    <t>MIND132025-1693</t>
  </si>
  <si>
    <t>enjagi@must.ac.ke</t>
  </si>
  <si>
    <t>MIND132025-1694</t>
  </si>
  <si>
    <t>Meru University of Science &amp; Technology</t>
  </si>
  <si>
    <t>g.kathure88@gmail.com</t>
  </si>
  <si>
    <t>MIND132025-1696</t>
  </si>
  <si>
    <t xml:space="preserve">Institut national de l'eau </t>
  </si>
  <si>
    <t>eadognibo@gmail.com</t>
  </si>
  <si>
    <t xml:space="preserve">Université de Fiananratsoa </t>
  </si>
  <si>
    <t>nono125086@gmail.com</t>
  </si>
  <si>
    <t>Institut National de l'Eau/UAC</t>
  </si>
  <si>
    <t>loisadehossi@gmail.com</t>
  </si>
  <si>
    <t xml:space="preserve">Institut National de l’Eau </t>
  </si>
  <si>
    <t>malicklekoyo@gmail.com</t>
  </si>
  <si>
    <t xml:space="preserve">Université de Kara </t>
  </si>
  <si>
    <t>achillemissiye@gmail.com</t>
  </si>
  <si>
    <t>MIND132025-1701</t>
  </si>
  <si>
    <t>GSGS-Université Félix Houphouët-Boigny</t>
  </si>
  <si>
    <t>kossigomassi@yahoo.fr</t>
  </si>
  <si>
    <t>MIND132025-1702</t>
  </si>
  <si>
    <t>Université d'Abomey Calavi</t>
  </si>
  <si>
    <t>tumsifujustin00@gmail.com</t>
  </si>
  <si>
    <t xml:space="preserve">Institut Supérieur d'Agriculture du Bois de l'Eau et de l'Environnement de l'Université d'Ebolowa </t>
  </si>
  <si>
    <t>stephaniemanuelangoboum@gmail.com</t>
  </si>
  <si>
    <t xml:space="preserve">Université de Dschang/FASA </t>
  </si>
  <si>
    <t>merveilledemanou36@gmail.com</t>
  </si>
  <si>
    <t>MIND132025-1705</t>
  </si>
  <si>
    <t>Institut SupeSupérieur d'Agriculture de Bois, Eau et de l'Environnement</t>
  </si>
  <si>
    <t>madiabel44@gmail.com</t>
  </si>
  <si>
    <t>MIND132025-1706</t>
  </si>
  <si>
    <t>Institut Supérieur de Développement Rural ISDR/BUKAVU</t>
  </si>
  <si>
    <t>bashizinabintu2019@gmail.com</t>
  </si>
  <si>
    <t>abravyleslie@gmail.com</t>
  </si>
  <si>
    <t>MIND132025-1708</t>
  </si>
  <si>
    <t>Université Libre des Pays des Grands Lacs (ULPGL/Goma)</t>
  </si>
  <si>
    <t>paulinechizabiganiro@gmail.com</t>
  </si>
  <si>
    <t>MIND132025-1709</t>
  </si>
  <si>
    <t>omondips@gmail.com</t>
  </si>
  <si>
    <t>MIND132025-1710</t>
  </si>
  <si>
    <t>University of Rwanda - College of Science and Technology- Faculy of Civil Engineering- Water Resources Engineering</t>
  </si>
  <si>
    <t>adelirakza@gmail.com</t>
  </si>
  <si>
    <t>Ecole polytechnique de Thiès</t>
  </si>
  <si>
    <t>tinerosedianga@ept.sn</t>
  </si>
  <si>
    <t xml:space="preserve">ECOLE SUPERIEURE DES TECHNIQUES BIOLOGIQUES ET ALIMENTAIRE / UNIVERSITE DE LOME  </t>
  </si>
  <si>
    <t>ikramsid085@gmail.com</t>
  </si>
  <si>
    <t>MIND132025-1713</t>
  </si>
  <si>
    <t>cynthiakip99@gmail.com</t>
  </si>
  <si>
    <t>MIND132025-1714</t>
  </si>
  <si>
    <t>Centre de Développement Rural de Kibututu</t>
  </si>
  <si>
    <t>cederu@cederu.org</t>
  </si>
  <si>
    <t>Université André Salifou</t>
  </si>
  <si>
    <t>abdourahamanemamansanimaman57@gmail.com</t>
  </si>
  <si>
    <t>MIND132025-1716</t>
  </si>
  <si>
    <t xml:space="preserve">Université Cheikh Anta Diop de Dakar,  FASTEF </t>
  </si>
  <si>
    <t>dialloassane38@gmail.com</t>
  </si>
  <si>
    <t>MIND132025-1717</t>
  </si>
  <si>
    <t>2iE</t>
  </si>
  <si>
    <t>rebeccasodre2003@gmail.com</t>
  </si>
  <si>
    <t xml:space="preserve">ESTBA UNIVERSITE DE LOME </t>
  </si>
  <si>
    <t>afcelia9@gmail.com</t>
  </si>
  <si>
    <t>MIND132025-1719</t>
  </si>
  <si>
    <t>Université Senghor Operateur international de la Francophonie</t>
  </si>
  <si>
    <t>Haiti</t>
  </si>
  <si>
    <t>laissa.louis.2023@etu-usenghor.org</t>
  </si>
  <si>
    <t>Université Assane Seck Ziguinchor</t>
  </si>
  <si>
    <t>sallmamasire14@gmail.com</t>
  </si>
  <si>
    <t>MIND132025-1721</t>
  </si>
  <si>
    <t xml:space="preserve">Université d’Abomey Calavi </t>
  </si>
  <si>
    <t>adekegnide@gmail.com</t>
  </si>
  <si>
    <t>Meru Uuniversity of Science and Technology</t>
  </si>
  <si>
    <t>samuelathiambo95@gmail.com</t>
  </si>
  <si>
    <t>MIND132025-1723</t>
  </si>
  <si>
    <t xml:space="preserve">École Nationale d'Ingénieurs Abderhamane Baba Touré </t>
  </si>
  <si>
    <t>mariamakonne1@gmail.com</t>
  </si>
  <si>
    <t>MIND132025-1724</t>
  </si>
  <si>
    <t>Institut National de l'Eau (INE)</t>
  </si>
  <si>
    <t>cgbayi@gmail.com</t>
  </si>
  <si>
    <t>MIND132025-1725</t>
  </si>
  <si>
    <t>Faculty of Engineering, Department of Civil Engineering (M.Sc. in Water Resources and Environmental Management)</t>
  </si>
  <si>
    <t>ntirenganyadenis1@gmail.com</t>
  </si>
  <si>
    <t xml:space="preserve">Université de Maroua </t>
  </si>
  <si>
    <t>marcelinewiwa8@gmail.com</t>
  </si>
  <si>
    <t xml:space="preserve">ISABEE EBOLOWA </t>
  </si>
  <si>
    <t>zillyjoseph4@gmail.com</t>
  </si>
  <si>
    <t>UNIVERSITE DE LOME</t>
  </si>
  <si>
    <t>nathaliekonou27@gmail.com</t>
  </si>
  <si>
    <t>MIND132025-1729</t>
  </si>
  <si>
    <t>Ecole Supérieure des Techniques Biologiques et Alimentaires</t>
  </si>
  <si>
    <t>yakouboutchele@gmail.com</t>
  </si>
  <si>
    <t>Pan African University Institute of Water and Energy Sciences including Climate Change (PAUWES)</t>
  </si>
  <si>
    <t>kanjikhondowe@gmail.com</t>
  </si>
  <si>
    <t>Amiblu FRANCE SAS</t>
  </si>
  <si>
    <t>antoine.deman@amiblu.com</t>
  </si>
  <si>
    <t>MAFF122026-1732</t>
  </si>
  <si>
    <t>yet8konesephora@gmail.com</t>
  </si>
  <si>
    <t>MIND132025-1733</t>
  </si>
  <si>
    <t>Autorité de Régulation du Secteur de l'Eau (ARSEau)</t>
  </si>
  <si>
    <t>cheickousmanesissoko2@gmail.com</t>
  </si>
  <si>
    <t>MACT112025-1734</t>
  </si>
  <si>
    <t>batulajb@gmail.com</t>
  </si>
  <si>
    <t>MIND132025-1735</t>
  </si>
  <si>
    <t>Communauté Urbaine de Douala</t>
  </si>
  <si>
    <t>sageorsy@yahoo.fr</t>
  </si>
  <si>
    <t>DAUD/MINISTERE</t>
  </si>
  <si>
    <t>sonangacoul@gmail.com</t>
  </si>
  <si>
    <t>Kakamega County Water and Sanitation company</t>
  </si>
  <si>
    <t>ikuajosephine11@gmail.com</t>
  </si>
  <si>
    <t>MIND132025-1738</t>
  </si>
  <si>
    <t>ACCESS WORLD WIDE</t>
  </si>
  <si>
    <t>Tanzania, United Republic of</t>
  </si>
  <si>
    <t>emalebeto98@gmail.com</t>
  </si>
  <si>
    <t>County Government of Nandi</t>
  </si>
  <si>
    <t>gilbertketer90@gmail.com</t>
  </si>
  <si>
    <t>MIND132025-1740</t>
  </si>
  <si>
    <t>Meru University</t>
  </si>
  <si>
    <t>chitichombo@gmail.com</t>
  </si>
  <si>
    <t>MIND132025-1741</t>
  </si>
  <si>
    <t xml:space="preserve">UNESCO </t>
  </si>
  <si>
    <t>tawanda.gijima@gmail.com</t>
  </si>
  <si>
    <t>MIND132025-1742</t>
  </si>
  <si>
    <t xml:space="preserve">Meru University of Science and Technology </t>
  </si>
  <si>
    <t>aronkemboi01@gmail.com</t>
  </si>
  <si>
    <t>Gsgs alumni</t>
  </si>
  <si>
    <t>MIND132025-1744</t>
  </si>
  <si>
    <t>KEMRI</t>
  </si>
  <si>
    <t>wairimuyvonne6@gmail.com</t>
  </si>
  <si>
    <t>MIND132025-1745</t>
  </si>
  <si>
    <t>Uptime Global</t>
  </si>
  <si>
    <t>eunicemwanapabo@gmail.com</t>
  </si>
  <si>
    <t>MIND132025-1746</t>
  </si>
  <si>
    <t>Lusaka Water Supply and Sanitation Company</t>
  </si>
  <si>
    <t>kkapanda@lwsc.com.zm</t>
  </si>
  <si>
    <t>Ghana Water Limited</t>
  </si>
  <si>
    <t>janet.atebiya@gwcl.com.gh</t>
  </si>
  <si>
    <t>MIND132025-1748</t>
  </si>
  <si>
    <t>University</t>
  </si>
  <si>
    <t>jbcharana@gmail.com</t>
  </si>
  <si>
    <t>MIND132025-1749</t>
  </si>
  <si>
    <t>GSGS Alumni, Meru university of Science and Technology</t>
  </si>
  <si>
    <t>ngapedia@gmail.com</t>
  </si>
  <si>
    <t>MIND132025-1750</t>
  </si>
  <si>
    <t>Institut National de l'Eau au Benin</t>
  </si>
  <si>
    <t>jeanclaudendayihimbaze5@gmail.com</t>
  </si>
  <si>
    <t>FEDERAL CAPITAL TERRITORY WATER BOARD ABUJA</t>
  </si>
  <si>
    <t>vicanyakora@gmail.com</t>
  </si>
  <si>
    <t>MIND132025-1752</t>
  </si>
  <si>
    <t>teddysonfack0@gmail.com</t>
  </si>
  <si>
    <t>Société d'exploitation d'Ouvrages Hydrauliques</t>
  </si>
  <si>
    <t>f.ndao@seoh.sn</t>
  </si>
  <si>
    <t>MACT112025-1754</t>
  </si>
  <si>
    <t>Kemira Oyj</t>
  </si>
  <si>
    <t>jl.bisbal@kemira.com</t>
  </si>
  <si>
    <t>MAFF122025-1755</t>
  </si>
  <si>
    <t>UNIVERSITY OF ANTANANARIVO</t>
  </si>
  <si>
    <t>jenniferambinintsoa@gmail.com</t>
  </si>
  <si>
    <t>LIFE ONG</t>
  </si>
  <si>
    <t>MAFF122025-1760</t>
  </si>
  <si>
    <t>Association Kwiloise de l'eau</t>
  </si>
  <si>
    <t>tembevalentin@gmail.com</t>
  </si>
  <si>
    <t>Consultante Individuelle</t>
  </si>
  <si>
    <t>ruthstellanganlo@gmail.com</t>
  </si>
  <si>
    <t>MIND132025-1758</t>
  </si>
  <si>
    <t>Institut Supérieur d'Agriculture, du Bois, de l'Eau et de l'Environnement</t>
  </si>
  <si>
    <t>arianedongmo33@gmail.com</t>
  </si>
  <si>
    <t>KARUCAN  Foundation ( KAFO)</t>
  </si>
  <si>
    <t>nelsonkasaija5@gmail.com</t>
  </si>
  <si>
    <t>Université Félix Houphouët</t>
  </si>
  <si>
    <t>tkoloabiba@gmail.com</t>
  </si>
  <si>
    <t>MIND132025-1766</t>
  </si>
  <si>
    <t xml:space="preserve">Camwater </t>
  </si>
  <si>
    <t>leonelfofe@gmail.com</t>
  </si>
  <si>
    <t>Université Joseph KI-ZERBO</t>
  </si>
  <si>
    <t>rogerouedraogo77@gmail.com</t>
  </si>
  <si>
    <t>GSGS RH WCIOA- GSGS 2IE</t>
  </si>
  <si>
    <t>isabellemarie.toni@gmail.com</t>
  </si>
  <si>
    <t>MIND132025-1770</t>
  </si>
  <si>
    <t>GSGS 2IE</t>
  </si>
  <si>
    <t>balkishamidou4@gmail.com</t>
  </si>
  <si>
    <t>MIND132025-1773</t>
  </si>
  <si>
    <t>HYSACAM</t>
  </si>
  <si>
    <t>enamathi96@gmail.com</t>
  </si>
  <si>
    <t>cgbadasery@sodeci.ci</t>
  </si>
  <si>
    <t>ReCTrad-GSGS 2IE</t>
  </si>
  <si>
    <t>salomonmouang@yahoo.fr</t>
  </si>
  <si>
    <t>MIND132025-1778</t>
  </si>
  <si>
    <t>Ministère de l'eau et de l'assainissement-GSGS 2IE</t>
  </si>
  <si>
    <t>kodomfrederic@gmail.com</t>
  </si>
  <si>
    <t>MIND132025-1779</t>
  </si>
  <si>
    <t>Cabinet d'étude EDE International Côte d'Ivoire</t>
  </si>
  <si>
    <t>belloemmanuel_o@yahoo.com</t>
  </si>
  <si>
    <t>MIND132025-1780</t>
  </si>
  <si>
    <t>jeanromualdkramo@gmail.com</t>
  </si>
  <si>
    <t xml:space="preserve">ENICAM SARL </t>
  </si>
  <si>
    <t>stellanekam@gmail.com</t>
  </si>
  <si>
    <t>MIND132025-1781</t>
  </si>
  <si>
    <t>SSEC</t>
  </si>
  <si>
    <t>Saudi Arabia</t>
  </si>
  <si>
    <t>moutazyousif123@gmail.com</t>
  </si>
  <si>
    <t>PFO-CONSTRUCTION -GSGS 2IE</t>
  </si>
  <si>
    <t>sadiaprivat26@gmail.com</t>
  </si>
  <si>
    <t>MIND132025-1785</t>
  </si>
  <si>
    <t xml:space="preserve">Université d _x0019_Ebolowa </t>
  </si>
  <si>
    <t>rlogirinelle@gmail.com</t>
  </si>
  <si>
    <t>MIND132025-1788</t>
  </si>
  <si>
    <t>Institut supérieur des sciences médicales de Yaoundé - GSGS 2IE</t>
  </si>
  <si>
    <t>ernapaulekom@gmail.com</t>
  </si>
  <si>
    <t>MIND132025-1789</t>
  </si>
  <si>
    <t xml:space="preserve">Régie Provinciale du Service Public de l'Eau/Nord-Kivu </t>
  </si>
  <si>
    <t>japhetchristian95@gmail.com</t>
  </si>
  <si>
    <t>MIND132025-1790</t>
  </si>
  <si>
    <t>HUMADEV</t>
  </si>
  <si>
    <t>humadevrdc@gmail.com</t>
  </si>
  <si>
    <t>ONG DEDI-GSGS-2IE</t>
  </si>
  <si>
    <t>rodriguekouakou90@gmail.com</t>
  </si>
  <si>
    <t>MIND132026-1792</t>
  </si>
  <si>
    <t xml:space="preserve">Meru University </t>
  </si>
  <si>
    <t>mwebiatyson@gmail.com</t>
  </si>
  <si>
    <t>MIND132025-1794</t>
  </si>
  <si>
    <t>harrynjunge@gmail.com</t>
  </si>
  <si>
    <t>ngaresuzie@gmail.com</t>
  </si>
  <si>
    <t>beatricekanyaura@gmail.com</t>
  </si>
  <si>
    <t>AZND-GSGS 2IE</t>
  </si>
  <si>
    <t>annemarie.ouedraogo@yahoo.fr</t>
  </si>
  <si>
    <t>MIND132025-1798</t>
  </si>
  <si>
    <t>marigimengo@gmail.com</t>
  </si>
  <si>
    <t>Eckolab international</t>
  </si>
  <si>
    <t>Belgium</t>
  </si>
  <si>
    <t>myriam.yam@eckolab-worldwide.com</t>
  </si>
  <si>
    <t>HENNOU</t>
  </si>
  <si>
    <t>contacthennou@gmail.com</t>
  </si>
  <si>
    <t>HEALTH AWARENESS AND GENDER ADVOCACY INITIATIVE (HAGAI)</t>
  </si>
  <si>
    <t>hagainigeria@gmail.com</t>
  </si>
  <si>
    <t>African Renaissance Trust</t>
  </si>
  <si>
    <t>Secretariat@the-african-renaissance.org</t>
  </si>
  <si>
    <t>Membre individuel</t>
  </si>
  <si>
    <t>madomguia@yahoo.fr</t>
  </si>
  <si>
    <t>fkiura@gmail.com</t>
  </si>
  <si>
    <t>MIND132025-1807</t>
  </si>
  <si>
    <t>Nkana Water Supply and Sanitation company Limited</t>
  </si>
  <si>
    <t>mapulangamwape656@gmail.com</t>
  </si>
  <si>
    <t>MIND132025-1808</t>
  </si>
  <si>
    <t>AlphaBlue Water Services Limited</t>
  </si>
  <si>
    <t>paul.igbinomwanhia@alphabluewater.com.ng</t>
  </si>
  <si>
    <t>MIND132025-1809</t>
  </si>
  <si>
    <t>Université d'Abomey-Calavi</t>
  </si>
  <si>
    <t>delesperancek@gmail.com</t>
  </si>
  <si>
    <t>SOCIETE INTERNATIONAL DE GROUPEMENT GLOBAL D'INGENIERIE ET TRANSIT</t>
  </si>
  <si>
    <t>bernisprety@gmail.com</t>
  </si>
  <si>
    <t>dibypretencetchimou@gmail.com</t>
  </si>
  <si>
    <t>MIND132025-1812</t>
  </si>
  <si>
    <t>Valdas Co &amp; Ltd</t>
  </si>
  <si>
    <t>mbinglo86@gmail.com</t>
  </si>
  <si>
    <t>Research and Development without Borders (RDWB)</t>
  </si>
  <si>
    <t>ngesabang@gmail.com</t>
  </si>
  <si>
    <t>Ministry of Local Government, Chieftaincy and Religious Affairs</t>
  </si>
  <si>
    <t>esbonpat@yahoo.co.uk</t>
  </si>
  <si>
    <t>boni-morkla.esi@mlgcra.gov.gh</t>
  </si>
  <si>
    <t>New Juaben Municipal Assembly</t>
  </si>
  <si>
    <t>edegrafttetteh76@gmail.com</t>
  </si>
  <si>
    <t>syllayaya3711@yahoo.fr</t>
  </si>
  <si>
    <t>MIND132025-1819</t>
  </si>
  <si>
    <t>Kiambu Water &amp; Sewerage Company Ltd</t>
  </si>
  <si>
    <t>kiwascotechnical@gmail.com</t>
  </si>
  <si>
    <t>Ministère de l'Eau et de l'Energie</t>
  </si>
  <si>
    <t>ngoumdjousibelle@gmail.com</t>
  </si>
  <si>
    <t>MIND132025-1821</t>
  </si>
  <si>
    <t>ELYDAN</t>
  </si>
  <si>
    <t>ctalineau@elydan.eu</t>
  </si>
  <si>
    <t>MAFF122025-1822</t>
  </si>
  <si>
    <t>ONG MINIMO</t>
  </si>
  <si>
    <t>yannicktchonang1@gmail.com</t>
  </si>
  <si>
    <t>MAFF122025-1823</t>
  </si>
  <si>
    <t>DBRLA</t>
  </si>
  <si>
    <t>rokhayadiouf12@gmail.com</t>
  </si>
  <si>
    <t>MAVOKO WATER AND SEWERAGE Co. LTD</t>
  </si>
  <si>
    <t>jambundo2010@gmail.com</t>
  </si>
  <si>
    <t>Meru University of Science and Technology (MUST) -GSGS 2IE</t>
  </si>
  <si>
    <t>GSGS.ESA@nwsc.co.ug</t>
  </si>
  <si>
    <t>TBD</t>
  </si>
  <si>
    <t>stevensonmonya20@gmail.co</t>
  </si>
  <si>
    <t>MIND132025-1827</t>
  </si>
  <si>
    <t>jeremiahupane@gmail.com</t>
  </si>
  <si>
    <t>MIND132025-1828</t>
  </si>
  <si>
    <t>malab.bashka.mb@gmail.com</t>
  </si>
  <si>
    <t>MIND132025-1829</t>
  </si>
  <si>
    <t>ygalmogle@gmail.com</t>
  </si>
  <si>
    <t>MIND132025-1830</t>
  </si>
  <si>
    <t>johnremu@gmail.com</t>
  </si>
  <si>
    <t>MIND132025-1831</t>
  </si>
  <si>
    <t>bernardkkr@gmail.com</t>
  </si>
  <si>
    <t>MIND132025-1832</t>
  </si>
  <si>
    <t>jebetmercy40@gmail.com</t>
  </si>
  <si>
    <t>MIND132025-1833</t>
  </si>
  <si>
    <t>tabinek@gmail.com</t>
  </si>
  <si>
    <t>MIND132025-1834</t>
  </si>
  <si>
    <t>vicmugambi@gmail.com</t>
  </si>
  <si>
    <t>MIND132025-1835</t>
  </si>
  <si>
    <t>simiyuwanjala4@gmail.com</t>
  </si>
  <si>
    <t>MIND132025-1836</t>
  </si>
  <si>
    <t>audreymary04@gmail.com</t>
  </si>
  <si>
    <t>MIND132025-1837</t>
  </si>
  <si>
    <t>kibetjackson7@gmail.com</t>
  </si>
  <si>
    <t>MIND132025-1838</t>
  </si>
  <si>
    <t>catekendi747@gmail.com</t>
  </si>
  <si>
    <t>MIND132025-1839</t>
  </si>
  <si>
    <t>mbatiahilda@yahoo.com</t>
  </si>
  <si>
    <t>MIND132025-1840</t>
  </si>
  <si>
    <t>kinashydii@gmail.com</t>
  </si>
  <si>
    <t>MIND132025-1841</t>
  </si>
  <si>
    <t>kobia.kpk@gmail.com</t>
  </si>
  <si>
    <t>MIND132025-1842</t>
  </si>
  <si>
    <t>Qabale.tari@gmail.com</t>
  </si>
  <si>
    <t>MIND132025-1843</t>
  </si>
  <si>
    <t>TBD GSGS</t>
  </si>
  <si>
    <t>susanmuthoni825@gmail.com</t>
  </si>
  <si>
    <t>MIND132025-1844</t>
  </si>
  <si>
    <t>Meru University of Science and Technology (MUST)-GSGS 2IE</t>
  </si>
  <si>
    <t>valary.oyoo@yahoo.com</t>
  </si>
  <si>
    <t>MIND132025-1845</t>
  </si>
  <si>
    <t>veraouko@gmail.com</t>
  </si>
  <si>
    <t>MIND132025-1846</t>
  </si>
  <si>
    <t>ntabathiafest14@gmail.com</t>
  </si>
  <si>
    <t>MIND132025-1848</t>
  </si>
  <si>
    <t>joshnyash@gmail.com</t>
  </si>
  <si>
    <t>MIND132025-1849</t>
  </si>
  <si>
    <t>gitobu-kenneth@yahoo.com</t>
  </si>
  <si>
    <t>MIND132025-1850</t>
  </si>
  <si>
    <t>samuelokoth93@gmail.com</t>
  </si>
  <si>
    <t>MIND132025-1851</t>
  </si>
  <si>
    <t>kiambio@yahoo.com</t>
  </si>
  <si>
    <t>MIND132025-1852</t>
  </si>
  <si>
    <t>markk.silvanus@gmail.com</t>
  </si>
  <si>
    <t>MIND132025-1853</t>
  </si>
  <si>
    <t>murugufridah@gmail.com</t>
  </si>
  <si>
    <t>MIND132025-1854</t>
  </si>
  <si>
    <t>beaverbrenda2@gmail.com</t>
  </si>
  <si>
    <t>MIND132025-1855</t>
  </si>
  <si>
    <t>aliciasmumali94@gmail.com</t>
  </si>
  <si>
    <t>MIND132025-1856</t>
  </si>
  <si>
    <t>teresiamucia@yahoo.com</t>
  </si>
  <si>
    <t>MIND132025-1857</t>
  </si>
  <si>
    <t>karimie098@gmail.com</t>
  </si>
  <si>
    <t>MIND132025-1858</t>
  </si>
  <si>
    <t>mcitoshjesse5@gmail.com</t>
  </si>
  <si>
    <t>MIND132025-1859</t>
  </si>
  <si>
    <t>atikasamueloti@gmail.com</t>
  </si>
  <si>
    <t>MIND132025-1860</t>
  </si>
  <si>
    <t>danielmutegi@gmail.com</t>
  </si>
  <si>
    <t>MIND132025-1861</t>
  </si>
  <si>
    <t>edwinmugendi59@gmail.com</t>
  </si>
  <si>
    <t>MIND132025-1862</t>
  </si>
  <si>
    <t>nungarimay@gmail.com</t>
  </si>
  <si>
    <t>MIND132025-1864</t>
  </si>
  <si>
    <t>ngonyomuthue@gmail.com</t>
  </si>
  <si>
    <t>MIND132025-1865</t>
  </si>
  <si>
    <t>raphkinoti71@gmail.com</t>
  </si>
  <si>
    <t>MIND132025-1866</t>
  </si>
  <si>
    <t>Julio.kirimi@gmail.com</t>
  </si>
  <si>
    <t>MIND132025-1867</t>
  </si>
  <si>
    <t>chimbalangalea@gmail.com</t>
  </si>
  <si>
    <t>MIND132025-1868</t>
  </si>
  <si>
    <t>BELFAST ENGINEERING LIMITED</t>
  </si>
  <si>
    <t>belfastengineeringltd@gmail.com</t>
  </si>
  <si>
    <t>MACT112025-1869</t>
  </si>
  <si>
    <t>mesengwira@gmail.com</t>
  </si>
  <si>
    <t>MIND132025-1870</t>
  </si>
  <si>
    <t>kachingwempha@gmail.com</t>
  </si>
  <si>
    <t>MIND132025-1871</t>
  </si>
  <si>
    <t>tiwokamanga@gmail.com</t>
  </si>
  <si>
    <t>MIND132025-1872</t>
  </si>
  <si>
    <t>svnkowani@gmail.com</t>
  </si>
  <si>
    <t>MIND132025-1873</t>
  </si>
  <si>
    <t>skachembwe@gmail.com</t>
  </si>
  <si>
    <t>MIND132025-1874</t>
  </si>
  <si>
    <t>nathasakala@gmail.com</t>
  </si>
  <si>
    <t>MIND132025-1875</t>
  </si>
  <si>
    <t>Lonjezo Sawasawa</t>
  </si>
  <si>
    <t>lonjezosawasawa@gmail.com</t>
  </si>
  <si>
    <t>MIND132025-1876</t>
  </si>
  <si>
    <t>abigailsibande@gmail.com</t>
  </si>
  <si>
    <t>MIND132025-1877</t>
  </si>
  <si>
    <t>conceptcommercial@concept.com.tn</t>
  </si>
  <si>
    <t>Ras</t>
  </si>
  <si>
    <t>guystephane1999@gmail.com</t>
  </si>
  <si>
    <t>RECHERCHE</t>
  </si>
  <si>
    <t>bmamounata@gmail.com</t>
  </si>
  <si>
    <t>MIND1320255-1881</t>
  </si>
  <si>
    <t>melvinmunalula@gmail.com</t>
  </si>
  <si>
    <t>MIND132025-1883</t>
  </si>
  <si>
    <t>abwinobm3@gmail.com</t>
  </si>
  <si>
    <t>MIND132025-1884</t>
  </si>
  <si>
    <t>hmusumali@gmail.com</t>
  </si>
  <si>
    <t>MIND132025-1885</t>
  </si>
  <si>
    <t>dan.mkandawire@unza.zm</t>
  </si>
  <si>
    <t>MIND132025-1886</t>
  </si>
  <si>
    <t>mulenga.c.jnr92@gmail.com</t>
  </si>
  <si>
    <t>MIND132025-1887</t>
  </si>
  <si>
    <t>kalongemeraly@gmail.com</t>
  </si>
  <si>
    <t>MIND132025-1888</t>
  </si>
  <si>
    <t>chemisthweru@gmail.com</t>
  </si>
  <si>
    <t>MIND132025-1889</t>
  </si>
  <si>
    <t>valetawe@gmail.co</t>
  </si>
  <si>
    <t>MIND132025-1890</t>
  </si>
  <si>
    <t>tashamatongo@gmail.com</t>
  </si>
  <si>
    <t>MIND132025-1891</t>
  </si>
  <si>
    <t>MERU</t>
  </si>
  <si>
    <t>blessedzhou2@gmail.com</t>
  </si>
  <si>
    <t>MIND132025-1892</t>
  </si>
  <si>
    <t>fchemaka@gmail.com</t>
  </si>
  <si>
    <t>MIND132025-1893</t>
  </si>
  <si>
    <t>percymugwa@gmail.com</t>
  </si>
  <si>
    <t>MIND132025-1894</t>
  </si>
  <si>
    <t>gilbert.kandemiri07@gmail.com</t>
  </si>
  <si>
    <t>MIND132025-1895</t>
  </si>
  <si>
    <t>chikwaturemoses@gmail.com</t>
  </si>
  <si>
    <t>MIND132025-1896</t>
  </si>
  <si>
    <t>munhengae@gmail.com</t>
  </si>
  <si>
    <t>MIND132025-1897</t>
  </si>
  <si>
    <t>chabudamuqove@gmail.com</t>
  </si>
  <si>
    <t>MIND132025-1898</t>
  </si>
  <si>
    <t>tsitsimuzira@gmail.com</t>
  </si>
  <si>
    <t>MIND132025-1899</t>
  </si>
  <si>
    <t>African Union Commission</t>
  </si>
  <si>
    <t>magbonlahor@gmail.com</t>
  </si>
  <si>
    <t>florasibande@gmail.com</t>
  </si>
  <si>
    <t>MIND132025-1901</t>
  </si>
  <si>
    <t>sithandiveni92@gmail.com</t>
  </si>
  <si>
    <t>MIND132025-1902</t>
  </si>
  <si>
    <t>Kamangatommy7@gmail.com</t>
  </si>
  <si>
    <t>MIND132025-1903</t>
  </si>
  <si>
    <t>ellie1995chirwa@gmail.com</t>
  </si>
  <si>
    <t>MIND132025-1904</t>
  </si>
  <si>
    <t>chakholomaoliver@gmail.com</t>
  </si>
  <si>
    <t>MIND132025-1905</t>
  </si>
  <si>
    <t>jmangasin@gmail.com</t>
  </si>
  <si>
    <t>MIND132025-1906</t>
  </si>
  <si>
    <t>City of Umhlathuze Municipalit</t>
  </si>
  <si>
    <t>zondiadee@gmail.com</t>
  </si>
  <si>
    <t>CHEM CHEM CONGO</t>
  </si>
  <si>
    <t>chemchemcongo1@gmail.com</t>
  </si>
  <si>
    <t>nkijazi@gmail.com</t>
  </si>
  <si>
    <t>MIND132026-1909</t>
  </si>
  <si>
    <t>kimtatty26@gmail.com</t>
  </si>
  <si>
    <t>MIND132025-1910</t>
  </si>
  <si>
    <t>blandymax@gmail.com</t>
  </si>
  <si>
    <t>MIND132025-1911</t>
  </si>
  <si>
    <t>queengloryrichardz@gmail.com</t>
  </si>
  <si>
    <t>MIND132025-1912</t>
  </si>
  <si>
    <t>Institut International d'Ingénierie de l'Eau et de l'Environnement (2iE) - GSGS 2IE</t>
  </si>
  <si>
    <t>johnnycodo@gmail.com</t>
  </si>
  <si>
    <t>MIND132026-1913</t>
  </si>
  <si>
    <t>senamikoubia@gmail.com</t>
  </si>
  <si>
    <t>MIND132026-1914</t>
  </si>
  <si>
    <t>metikilynda9@gmail.com</t>
  </si>
  <si>
    <t>MIND132026-1915</t>
  </si>
  <si>
    <t>molpomabta@gmail.com</t>
  </si>
  <si>
    <t>MIND132026-1916</t>
  </si>
  <si>
    <t>dianelouari@gmail.com</t>
  </si>
  <si>
    <t>MIND132026-1917</t>
  </si>
  <si>
    <t>yasmineleilat@gmail.com</t>
  </si>
  <si>
    <t>MIND132026-1918</t>
  </si>
  <si>
    <t>wtaryam@yahoo.fr</t>
  </si>
  <si>
    <t>MIND132026-1919</t>
  </si>
  <si>
    <t>jahrod77@gmail.com</t>
  </si>
  <si>
    <t>MIND132026-1920</t>
  </si>
  <si>
    <t>hortensew2002@yahoo.fr</t>
  </si>
  <si>
    <t>MIND132026-1921</t>
  </si>
  <si>
    <t>auguste.sore@gmail.com</t>
  </si>
  <si>
    <t>MIND132026-1922</t>
  </si>
  <si>
    <t>mariereine102@gmail.com</t>
  </si>
  <si>
    <t>MIND132026-1923</t>
  </si>
  <si>
    <t>nongassom@yahoo.fr</t>
  </si>
  <si>
    <t>MIND1132026-1924</t>
  </si>
  <si>
    <t>rayitaba93@gmail.com</t>
  </si>
  <si>
    <t>MIND132026-1925</t>
  </si>
  <si>
    <t>mimicongo2@gmail.com</t>
  </si>
  <si>
    <t>MIND132026-1927</t>
  </si>
  <si>
    <t>marietou1187.mo@gmail.com</t>
  </si>
  <si>
    <t>ndocostilla@gmail.com</t>
  </si>
  <si>
    <t>MIND132026-1928</t>
  </si>
  <si>
    <t>pclementouedraogo1122@yahoo.com</t>
  </si>
  <si>
    <t>MIND132026-1929</t>
  </si>
  <si>
    <t>shmz1@yahoo.fr</t>
  </si>
  <si>
    <t>MIND132026-1930</t>
  </si>
  <si>
    <t>samirayago06@gmail.com</t>
  </si>
  <si>
    <t>MIND132026-1931</t>
  </si>
  <si>
    <t>myandale2304@gmail.com</t>
  </si>
  <si>
    <t>MIND132026-1932</t>
  </si>
  <si>
    <t>adam17gnoumou@gmail.com</t>
  </si>
  <si>
    <t>MIND132026-1933</t>
  </si>
  <si>
    <t>dominique.djambou@gmail.com</t>
  </si>
  <si>
    <t>MIND132026-1934</t>
  </si>
  <si>
    <t>laureinenyamou@yahoo.com</t>
  </si>
  <si>
    <t>MIND132026-1935</t>
  </si>
  <si>
    <t>megne.wbed@gmail.com</t>
  </si>
  <si>
    <t>MIND132026-1936</t>
  </si>
  <si>
    <t>INDIVIDUEL</t>
  </si>
  <si>
    <t>thesiaketu@gmail.com</t>
  </si>
  <si>
    <t>MIND132026-1937</t>
  </si>
  <si>
    <t>University of Ebolowa (UoEb) GSGS-2IE</t>
  </si>
  <si>
    <t>djimtimo@gmail.com</t>
  </si>
  <si>
    <t>MIND132026-1938</t>
  </si>
  <si>
    <t>doumyoldjedanem@gmail.com</t>
  </si>
  <si>
    <t>MIND132026-1939</t>
  </si>
  <si>
    <t>micheladoumbi@gmail.com</t>
  </si>
  <si>
    <t>MIND132026-1940</t>
  </si>
  <si>
    <t>gueyeat313@gmail.com</t>
  </si>
  <si>
    <t>MIND132026-1941</t>
  </si>
  <si>
    <t>jucilinegomes96@gmail.com</t>
  </si>
  <si>
    <t>MIND132026-1942</t>
  </si>
  <si>
    <t>jaririms2@gmail.com</t>
  </si>
  <si>
    <t>MIND132026-1943</t>
  </si>
  <si>
    <t>housseinimariama@yahoo.com</t>
  </si>
  <si>
    <t>MIND132026-1944</t>
  </si>
  <si>
    <t>Laouali-c@yahoo.com</t>
  </si>
  <si>
    <t>MIND132026-1945</t>
  </si>
  <si>
    <t>aliamadoub@gmail.com</t>
  </si>
  <si>
    <t>MIND132026-1946</t>
  </si>
  <si>
    <t>abitalibdjibo22@gmail.com</t>
  </si>
  <si>
    <t>MIND132026-1947</t>
  </si>
  <si>
    <t>oumarkone57@yahoo.fr</t>
  </si>
  <si>
    <t>MIND132026-1948</t>
  </si>
  <si>
    <t>badianesandrine225@gmail.com</t>
  </si>
  <si>
    <t>MIND132026-1949</t>
  </si>
  <si>
    <t>yeokolo107@gmail.com</t>
  </si>
  <si>
    <t>MIND132026-1950</t>
  </si>
  <si>
    <t>stephanegueu67@gmail.com</t>
  </si>
  <si>
    <t>MIND132026-1951</t>
  </si>
  <si>
    <t>kehidesiree25@gmail.com</t>
  </si>
  <si>
    <t>MIND132026-1952</t>
  </si>
  <si>
    <t>haqqsalimata.dossi@icloud.com</t>
  </si>
  <si>
    <t>MIND132026-1953</t>
  </si>
  <si>
    <t>yebouajas88@gmail.com</t>
  </si>
  <si>
    <t>MIND132026-1954</t>
  </si>
  <si>
    <t>consultante experte en ingénierie du traitement des eaux</t>
  </si>
  <si>
    <t>France, Metropolitan</t>
  </si>
  <si>
    <t>madeleine.lionneton@gmail.com</t>
  </si>
  <si>
    <t>JADEK (Joint action for développent and environnemental knowledge)</t>
  </si>
  <si>
    <t>marcaimeassogo@gmail.com</t>
  </si>
  <si>
    <t>MIND132026-1957</t>
  </si>
  <si>
    <t>University of Man (UoM) - GSGS 2IE</t>
  </si>
  <si>
    <t>sipoake@gmail.com</t>
  </si>
  <si>
    <t>MIND132026-1960</t>
  </si>
  <si>
    <t>sekongogninniyebe76@gmail.com</t>
  </si>
  <si>
    <t>MIND132026-1962</t>
  </si>
  <si>
    <t>ngoranmarieange23@gmail.com</t>
  </si>
  <si>
    <t>MIND132026-1963</t>
  </si>
  <si>
    <t>keassaherica@gmail.com</t>
  </si>
  <si>
    <t>MIND132026-1964</t>
  </si>
  <si>
    <t>kwilfriedsaturnin@gmail.com</t>
  </si>
  <si>
    <t>MIND132026-1965</t>
  </si>
  <si>
    <t>guehiabel8@gmail.com</t>
  </si>
  <si>
    <t>mind132026-1966</t>
  </si>
  <si>
    <t>yepearthur98@gmail.com</t>
  </si>
  <si>
    <t>MIND132026-1967</t>
  </si>
  <si>
    <t>77ismaelyeo@gmail.com</t>
  </si>
  <si>
    <t>MIND132026-1968</t>
  </si>
  <si>
    <t>tourelanc205@gmail.com</t>
  </si>
  <si>
    <t>MIND132026-1969</t>
  </si>
  <si>
    <t>soroziemamadou44@gmail.com</t>
  </si>
  <si>
    <t>MIND132026-1970</t>
  </si>
  <si>
    <t>bellolucemmanuelo@gmail.com</t>
  </si>
  <si>
    <t>MIND132026-1971</t>
  </si>
  <si>
    <t>ouattara.eleve@gmail.com</t>
  </si>
  <si>
    <t>MIND132026-1972</t>
  </si>
  <si>
    <t>mamadoudiallo8126@gmail.com</t>
  </si>
  <si>
    <t>MIND132026-1973</t>
  </si>
  <si>
    <t>kopouenosguy@gmail.com</t>
  </si>
  <si>
    <t>MIND132026-1974</t>
  </si>
  <si>
    <t>jkone6203@gmail.com</t>
  </si>
  <si>
    <t>MIND132026-1975</t>
  </si>
  <si>
    <t>christinefofana19@gmail.com</t>
  </si>
  <si>
    <t>MIND132026-1976</t>
  </si>
  <si>
    <t>sahidiomande41@gmail.com</t>
  </si>
  <si>
    <t>MIND132026-1977</t>
  </si>
  <si>
    <t>mohameddiomande546@gmail.com</t>
  </si>
  <si>
    <t>MIND132026-1978</t>
  </si>
  <si>
    <t>lynedanho@gmail.com</t>
  </si>
  <si>
    <t>MIND132026-1979</t>
  </si>
  <si>
    <t>ban366095@gmail.com</t>
  </si>
  <si>
    <t>MIND132026-1980</t>
  </si>
  <si>
    <t>Université Félix Houphouët-Boigny (UFHB)  - GSGS 2IE</t>
  </si>
  <si>
    <t>salemeunice1@gmail.com</t>
  </si>
  <si>
    <t>MIND132026-1981</t>
  </si>
  <si>
    <t xml:space="preserve">Université Félix Houphouët-Boigny (UFHB)  - GSGS 2IE </t>
  </si>
  <si>
    <t>arimaiga@gmail.com</t>
  </si>
  <si>
    <t>MIND132026-1982</t>
  </si>
  <si>
    <t>franckkoudougou@gmail.com</t>
  </si>
  <si>
    <t>MIND132026-1983</t>
  </si>
  <si>
    <t xml:space="preserve">Université Félix Houphouët-Boigny (UFHB)  - GSGS </t>
  </si>
  <si>
    <t>solangebrou2019@gmail.com</t>
  </si>
  <si>
    <t>MIND132026-1984</t>
  </si>
  <si>
    <t>fideleberengerk@gmail.com</t>
  </si>
  <si>
    <t>MIND132026-1985</t>
  </si>
  <si>
    <t>kouamekjocelyn@gmail.com</t>
  </si>
  <si>
    <t>MIND132026-1986</t>
  </si>
  <si>
    <t>atayoroghyslain@gmail.com</t>
  </si>
  <si>
    <t>MIND132026-1987</t>
  </si>
  <si>
    <t>salimatatraore973@gmail.com</t>
  </si>
  <si>
    <t>MIND132026-1988</t>
  </si>
  <si>
    <t>sakoange15@gmail.com</t>
  </si>
  <si>
    <t>MIND132026-1989</t>
  </si>
  <si>
    <t>OUATTARA Zié Anicet</t>
  </si>
  <si>
    <t>zieanicetouattara@yahoo.com</t>
  </si>
  <si>
    <t>MIND132026-1990</t>
  </si>
  <si>
    <t>osseymodo26@gmail.com</t>
  </si>
  <si>
    <t>MIND132026-1991</t>
  </si>
  <si>
    <t>fadetteamoan@gmail.com</t>
  </si>
  <si>
    <t>MIND132026-1992</t>
  </si>
  <si>
    <t>brouhenriette1@gmail.com</t>
  </si>
  <si>
    <t>MIND132026-1993</t>
  </si>
  <si>
    <t>amaracoulibaly4@gmail.com</t>
  </si>
  <si>
    <t>MIND132026-1994</t>
  </si>
  <si>
    <t>botyanne@gmail.com</t>
  </si>
  <si>
    <t>MIND132026-1995</t>
  </si>
  <si>
    <t>ezechielbleu@gmail.com</t>
  </si>
  <si>
    <t>MIND132026-1996</t>
  </si>
  <si>
    <t>aichadiarra02@outlook.fr</t>
  </si>
  <si>
    <t>MIND132026-1997</t>
  </si>
  <si>
    <t>mahamagbane8@gmail.com</t>
  </si>
  <si>
    <t>MIND132026-1998</t>
  </si>
  <si>
    <t xml:space="preserve">Institut International d'Ingénierie de l'Eau et de l'Environnement (2iE) - GSGS 2IE </t>
  </si>
  <si>
    <t>almamytoure94@gmail.com</t>
  </si>
  <si>
    <t>MIND132025-1999</t>
  </si>
  <si>
    <t>jakudel@live.fr</t>
  </si>
  <si>
    <t>MIND132026-2000</t>
  </si>
  <si>
    <t xml:space="preserve">Tanzania's Ministry of Water </t>
  </si>
  <si>
    <t>obadia.kibona@maji.go.tz</t>
  </si>
  <si>
    <t>mansour.mtili@maji.go.tz</t>
  </si>
  <si>
    <t>said.issaka2@maji.go.tz</t>
  </si>
  <si>
    <t>taikiba.palouma@zlsimpact.com</t>
  </si>
  <si>
    <t>MIND132026-2004</t>
  </si>
  <si>
    <t>taikiba.palouma@h2oconsortium.com</t>
  </si>
  <si>
    <t>MIND132026-2005</t>
  </si>
  <si>
    <t>taikiba.palouma@innosystem.hu</t>
  </si>
  <si>
    <t>MIND132026-2006</t>
  </si>
  <si>
    <t>IHE Delft Research MSc in Water &amp; Sustainable Development</t>
  </si>
  <si>
    <t>kristen.tonga@gmail.com</t>
  </si>
  <si>
    <t xml:space="preserve">CAMWATER </t>
  </si>
  <si>
    <t>lokilicarllyn@gmail.com</t>
  </si>
  <si>
    <t>Laoprojekt Zrt.</t>
  </si>
  <si>
    <t>taikiba.palouma@laoprojekt.com</t>
  </si>
  <si>
    <t>MIND132026-2009</t>
  </si>
  <si>
    <t>Professional</t>
  </si>
  <si>
    <t>emmaguissil@hotmail.fr</t>
  </si>
  <si>
    <t>Ecole Nationale Superieur Polytecnique de Maoura</t>
  </si>
  <si>
    <t>idrissoundichout@yahoo.com</t>
  </si>
  <si>
    <t>ENVIPUR</t>
  </si>
  <si>
    <t>francis.loko@envipipes.com</t>
  </si>
  <si>
    <t>MAFF122026-2012</t>
  </si>
  <si>
    <t xml:space="preserve">MFUT PATRICIA </t>
  </si>
  <si>
    <t>patyebouele@gmail.com</t>
  </si>
  <si>
    <t>Université de Montpellier</t>
  </si>
  <si>
    <t>ismeldasawadogo@gmail.com</t>
  </si>
  <si>
    <t>APAA/PASA</t>
  </si>
  <si>
    <t>contact@apaapasa.org; kbawa@apaapasa.org</t>
  </si>
  <si>
    <t>MAFF122026-2017</t>
  </si>
  <si>
    <t>Davis &amp; Shirtliff</t>
  </si>
  <si>
    <t>Njoyi.ulrich@dayliff.com</t>
  </si>
  <si>
    <t>MIND132026-2018</t>
  </si>
  <si>
    <t>Hysacam</t>
  </si>
  <si>
    <t>ymele.jeanpierre@hysacam-proprete.com</t>
  </si>
  <si>
    <t>SGDS SA</t>
  </si>
  <si>
    <t>bagoussanou@sgds.bj</t>
  </si>
  <si>
    <t>hysacam_dgyde@hysacam-proprete.com</t>
  </si>
  <si>
    <t>yankap_gildas@hysacam-proprete.com</t>
  </si>
  <si>
    <t>MACT112026-2022</t>
  </si>
  <si>
    <t>Ethiopian Urban Water and Sanitation Federation</t>
  </si>
  <si>
    <t>smebrathu@gmail.com; ahmedmuktar83@gmail.com</t>
  </si>
  <si>
    <t>MACT112026-2025</t>
  </si>
  <si>
    <t>Université de N'Djamena/Ministère de l'Eau et de l'Energie du Tchad</t>
  </si>
  <si>
    <t>paloumaali@gmail.com</t>
  </si>
  <si>
    <t>MIND132026-2026</t>
  </si>
  <si>
    <t>Institut International de l'ingénierie de l'eau et de l'environnement (Institut 2iE)</t>
  </si>
  <si>
    <t>jkonanacs@gmail.com</t>
  </si>
  <si>
    <t>WUC</t>
  </si>
  <si>
    <t>btnmonametsi@gmail.com</t>
  </si>
  <si>
    <t>MIND132026-2028</t>
  </si>
  <si>
    <t>Universite Pan-Africaine des Sciences de l'Eaux et de l'Energie y compris les changement climatiques</t>
  </si>
  <si>
    <t>moussadrame3026@gmail.com</t>
  </si>
  <si>
    <t>MIND132026-2029</t>
  </si>
  <si>
    <t>Omilaye</t>
  </si>
  <si>
    <t>Cotonou</t>
  </si>
  <si>
    <t>a.loukou@omilaye.bj</t>
  </si>
  <si>
    <t>MACT112026-2030</t>
  </si>
  <si>
    <t>nigerienne des eaux</t>
  </si>
  <si>
    <t>salha.rabe@niger-nde.com</t>
  </si>
  <si>
    <t>Ahmadu Bello University Zaria</t>
  </si>
  <si>
    <t>Aliyuyahayajere01@gmail.com</t>
  </si>
  <si>
    <t>Ashok Chaudhuri (Freelancer)</t>
  </si>
  <si>
    <t>India</t>
  </si>
  <si>
    <t>ashok.ch08@outlook.com</t>
  </si>
  <si>
    <t>MIND132026-2033</t>
  </si>
  <si>
    <t>VOLTA RIVER AUTHORITY</t>
  </si>
  <si>
    <t>bernktphey@gmail.com</t>
  </si>
  <si>
    <t>MIND132026-2034</t>
  </si>
  <si>
    <t>ASBL OISILLONS GROUP</t>
  </si>
  <si>
    <t>flore.kayala@yahoo.com</t>
  </si>
  <si>
    <t>UNIVERSITE JEAN LOROUGNON GUEDE</t>
  </si>
  <si>
    <t>dmariemichael@yahoo.com</t>
  </si>
  <si>
    <t>Ilyame OURO - LOWAN</t>
  </si>
  <si>
    <t>ilyame777@gmail.com</t>
  </si>
  <si>
    <t>MIND132026-2039</t>
  </si>
  <si>
    <t>ATNER</t>
  </si>
  <si>
    <t>contact@atner.co.ma</t>
  </si>
  <si>
    <t>MACT112026-2042</t>
  </si>
  <si>
    <t>UMAWA</t>
  </si>
  <si>
    <t>milingamathias1@gmail.com</t>
  </si>
  <si>
    <t>WEPMO</t>
  </si>
  <si>
    <t>wepmotanzania@gmail.com</t>
  </si>
  <si>
    <t>GROUPE EXPERTISE LOCALE</t>
  </si>
  <si>
    <t>infos@expertiselocale.com</t>
  </si>
  <si>
    <t>MIND132026-2045</t>
  </si>
  <si>
    <t>Université Iba Der Thiam</t>
  </si>
  <si>
    <t>diopseydinamouhamet@gmail.com</t>
  </si>
  <si>
    <t>MIND132026-2046</t>
  </si>
  <si>
    <t>Water Corporation of Oyo State</t>
  </si>
  <si>
    <t>rauf.amao@yahoo.com</t>
  </si>
  <si>
    <t>Not Applicable</t>
  </si>
  <si>
    <t>ooaluko@oauife.edu.ng</t>
  </si>
  <si>
    <t>Université du Burundi Doctoral School</t>
  </si>
  <si>
    <t>tomirefu@gmail.com</t>
  </si>
  <si>
    <t xml:space="preserve">École Supérieure du Génie Rural et de l' Environnement </t>
  </si>
  <si>
    <t>konfelatif7@gmail.com</t>
  </si>
  <si>
    <t xml:space="preserve">Walckense Engineering Services </t>
  </si>
  <si>
    <t>Ibifuro.walter@gmail.com</t>
  </si>
  <si>
    <t>University of Ibadan</t>
  </si>
  <si>
    <t>tolawinjobi59@gmail.com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</si>
</sst>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rgb="FFFFFFFF"/>
      <name val="Calibri"/>
      <family val="2"/>
    </font>
    <font>
      <b/>
      <sz val="10"/>
      <color rgb="FFC65911"/>
      <name val="Calibri"/>
      <family val="2"/>
    </font>
    <font>
      <b/>
      <sz val="10"/>
      <color rgb="FFC65911"/>
      <name val="Calibri"/>
      <family val="2"/>
      <scheme val="minor"/>
    </font>
    <font>
      <b/>
      <sz val="10"/>
      <color rgb="FF00206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rgb="FFC00000"/>
      <name val="Calibri"/>
      <family val="2"/>
    </font>
    <font>
      <b/>
      <sz val="10"/>
      <color rgb="FFFFFFFF"/>
      <name val="Calibri"/>
      <family val="2"/>
    </font>
    <font>
      <b/>
      <sz val="11"/>
      <color rgb="FF002060"/>
      <name val="Calibri"/>
      <family val="2"/>
      <scheme val="minor"/>
    </font>
    <font>
      <b/>
      <sz val="10"/>
      <color rgb="FF4472C4"/>
      <name val="Calibri"/>
      <family val="2"/>
    </font>
    <font>
      <b/>
      <sz val="10"/>
      <color rgb="FF4472C4"/>
      <name val="Calibri"/>
      <family val="2"/>
      <scheme val="minor"/>
    </font>
    <font>
      <b/>
      <sz val="10"/>
      <color rgb="FF000000"/>
      <name val="Calibri"/>
      <family val="2"/>
    </font>
    <font>
      <sz val="11"/>
      <color theme="1"/>
      <name val="Calibri"/>
      <family val="2"/>
      <charset val="1"/>
    </font>
    <font>
      <b/>
      <sz val="10"/>
      <color rgb="FFFF0000"/>
      <name val="Calibri"/>
      <family val="2"/>
    </font>
    <font>
      <sz val="11"/>
      <color rgb="FF242424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rgb="FFED7D31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5BABA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rgb="FFF4B084"/>
      </top>
      <bottom style="thin">
        <color rgb="FFF4B084"/>
      </bottom>
      <diagonal/>
    </border>
    <border>
      <left/>
      <right/>
      <top style="thin">
        <color rgb="FFF4B084"/>
      </top>
      <bottom/>
      <diagonal/>
    </border>
    <border>
      <left style="thin">
        <color rgb="FF9BC2E6"/>
      </left>
      <right/>
      <top style="thin">
        <color rgb="FF9BC2E6"/>
      </top>
      <bottom/>
      <diagonal/>
    </border>
    <border>
      <left/>
      <right/>
      <top style="thin">
        <color rgb="FF9BC2E6"/>
      </top>
      <bottom/>
      <diagonal/>
    </border>
    <border>
      <left/>
      <right style="thin">
        <color rgb="FF9BC2E6"/>
      </right>
      <top style="thin">
        <color rgb="FF9BC2E6"/>
      </top>
      <bottom/>
      <diagonal/>
    </border>
    <border>
      <left style="thin">
        <color rgb="FFFFD966"/>
      </left>
      <right/>
      <top style="thin">
        <color rgb="FFFFD966"/>
      </top>
      <bottom/>
      <diagonal/>
    </border>
    <border>
      <left/>
      <right/>
      <top style="thin">
        <color rgb="FFFFD966"/>
      </top>
      <bottom/>
      <diagonal/>
    </border>
    <border>
      <left/>
      <right style="thin">
        <color rgb="FFFFD966"/>
      </right>
      <top style="thin">
        <color rgb="FFFFD966"/>
      </top>
      <bottom/>
      <diagonal/>
    </border>
    <border>
      <left style="thin">
        <color rgb="FFFFD966"/>
      </left>
      <right/>
      <top style="thin">
        <color rgb="FFFFD966"/>
      </top>
      <bottom style="thin">
        <color rgb="FFFFD966"/>
      </bottom>
      <diagonal/>
    </border>
    <border>
      <left/>
      <right/>
      <top style="thin">
        <color rgb="FFFFD966"/>
      </top>
      <bottom style="thin">
        <color rgb="FFFFD966"/>
      </bottom>
      <diagonal/>
    </border>
    <border>
      <left/>
      <right style="thin">
        <color rgb="FFFFD966"/>
      </right>
      <top style="thin">
        <color rgb="FFFFD966"/>
      </top>
      <bottom style="thin">
        <color rgb="FFFFD966"/>
      </bottom>
      <diagonal/>
    </border>
    <border>
      <left style="thin">
        <color rgb="FFF4B084"/>
      </left>
      <right/>
      <top style="thin">
        <color rgb="FFF4B084"/>
      </top>
      <bottom/>
      <diagonal/>
    </border>
    <border>
      <left/>
      <right style="thin">
        <color rgb="FFF4B084"/>
      </right>
      <top style="thin">
        <color rgb="FFF4B084"/>
      </top>
      <bottom/>
      <diagonal/>
    </border>
    <border>
      <left style="thin">
        <color rgb="FFF4B084"/>
      </left>
      <right/>
      <top style="thin">
        <color rgb="FFF4B084"/>
      </top>
      <bottom style="thin">
        <color rgb="FFF4B084"/>
      </bottom>
      <diagonal/>
    </border>
    <border>
      <left/>
      <right style="thin">
        <color rgb="FFF4B084"/>
      </right>
      <top style="thin">
        <color rgb="FFF4B084"/>
      </top>
      <bottom style="thin">
        <color rgb="FFF4B084"/>
      </bottom>
      <diagonal/>
    </border>
    <border>
      <left style="thin">
        <color rgb="FFF1A983"/>
      </left>
      <right/>
      <top style="thin">
        <color rgb="FFF1A983"/>
      </top>
      <bottom style="thin">
        <color rgb="FFF1A983"/>
      </bottom>
      <diagonal/>
    </border>
    <border>
      <left/>
      <right/>
      <top style="thin">
        <color rgb="FFF1A983"/>
      </top>
      <bottom style="thin">
        <color rgb="FFF1A983"/>
      </bottom>
      <diagonal/>
    </border>
    <border>
      <left/>
      <right style="thin">
        <color rgb="FFF1A983"/>
      </right>
      <top style="thin">
        <color rgb="FFF1A983"/>
      </top>
      <bottom style="thin">
        <color rgb="FFF1A983"/>
      </bottom>
      <diagonal/>
    </border>
    <border>
      <left style="thin">
        <color rgb="FFF1A983"/>
      </left>
      <right/>
      <top style="thin">
        <color rgb="FFF1A983"/>
      </top>
      <bottom/>
      <diagonal/>
    </border>
    <border>
      <left/>
      <right/>
      <top style="thin">
        <color rgb="FFF1A983"/>
      </top>
      <bottom/>
      <diagonal/>
    </border>
    <border>
      <left/>
      <right style="thin">
        <color rgb="FFF1A983"/>
      </right>
      <top style="thin">
        <color rgb="FFF1A983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5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22" fontId="1" fillId="0" borderId="0" xfId="0" applyNumberFormat="1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10" fillId="0" borderId="0" xfId="0" applyFont="1"/>
    <xf numFmtId="0" fontId="1" fillId="0" borderId="2" xfId="0" applyFont="1" applyBorder="1"/>
    <xf numFmtId="0" fontId="1" fillId="0" borderId="3" xfId="0" applyFont="1" applyBorder="1"/>
    <xf numFmtId="0" fontId="12" fillId="6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4" borderId="0" xfId="0" applyFont="1" applyFill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22" fontId="16" fillId="0" borderId="0" xfId="0" applyNumberFormat="1" applyFont="1"/>
    <xf numFmtId="0" fontId="16" fillId="0" borderId="0" xfId="0" applyFont="1"/>
    <xf numFmtId="0" fontId="1" fillId="0" borderId="4" xfId="0" applyFont="1" applyBorder="1"/>
    <xf numFmtId="0" fontId="7" fillId="0" borderId="5" xfId="0" applyFont="1" applyBorder="1"/>
    <xf numFmtId="0" fontId="1" fillId="0" borderId="5" xfId="0" applyFont="1" applyBorder="1"/>
    <xf numFmtId="22" fontId="1" fillId="0" borderId="5" xfId="0" applyNumberFormat="1" applyFont="1" applyBorder="1"/>
    <xf numFmtId="0" fontId="1" fillId="0" borderId="7" xfId="0" applyFont="1" applyBorder="1"/>
    <xf numFmtId="0" fontId="7" fillId="0" borderId="8" xfId="0" applyFont="1" applyBorder="1"/>
    <xf numFmtId="0" fontId="1" fillId="0" borderId="8" xfId="0" applyFont="1" applyBorder="1"/>
    <xf numFmtId="22" fontId="1" fillId="0" borderId="8" xfId="0" applyNumberFormat="1" applyFont="1" applyBorder="1"/>
    <xf numFmtId="0" fontId="16" fillId="0" borderId="8" xfId="0" applyFont="1" applyBorder="1"/>
    <xf numFmtId="0" fontId="1" fillId="0" borderId="10" xfId="0" applyFont="1" applyBorder="1"/>
    <xf numFmtId="0" fontId="1" fillId="0" borderId="11" xfId="0" applyFont="1" applyBorder="1"/>
    <xf numFmtId="22" fontId="1" fillId="0" borderId="11" xfId="0" applyNumberFormat="1" applyFont="1" applyBorder="1"/>
    <xf numFmtId="0" fontId="7" fillId="0" borderId="11" xfId="0" applyFont="1" applyBorder="1"/>
    <xf numFmtId="14" fontId="5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" fillId="0" borderId="13" xfId="0" applyFont="1" applyBorder="1"/>
    <xf numFmtId="0" fontId="7" fillId="0" borderId="3" xfId="0" applyFont="1" applyBorder="1"/>
    <xf numFmtId="22" fontId="1" fillId="0" borderId="3" xfId="0" applyNumberFormat="1" applyFont="1" applyBorder="1"/>
    <xf numFmtId="0" fontId="16" fillId="0" borderId="3" xfId="0" applyFont="1" applyBorder="1"/>
    <xf numFmtId="0" fontId="14" fillId="0" borderId="14" xfId="0" applyFont="1" applyBorder="1" applyAlignment="1">
      <alignment horizontal="center"/>
    </xf>
    <xf numFmtId="22" fontId="16" fillId="0" borderId="3" xfId="0" applyNumberFormat="1" applyFont="1" applyBorder="1"/>
    <xf numFmtId="0" fontId="1" fillId="0" borderId="15" xfId="0" applyFont="1" applyBorder="1"/>
    <xf numFmtId="0" fontId="7" fillId="0" borderId="2" xfId="0" applyFont="1" applyBorder="1"/>
    <xf numFmtId="22" fontId="1" fillId="0" borderId="2" xfId="0" applyNumberFormat="1" applyFont="1" applyBorder="1"/>
    <xf numFmtId="0" fontId="16" fillId="0" borderId="2" xfId="0" applyFont="1" applyBorder="1"/>
    <xf numFmtId="0" fontId="14" fillId="0" borderId="16" xfId="0" applyFont="1" applyBorder="1" applyAlignment="1">
      <alignment horizontal="center"/>
    </xf>
    <xf numFmtId="0" fontId="17" fillId="0" borderId="0" xfId="0" applyFont="1"/>
    <xf numFmtId="22" fontId="16" fillId="0" borderId="2" xfId="0" applyNumberFormat="1" applyFont="1" applyBorder="1"/>
    <xf numFmtId="22" fontId="16" fillId="0" borderId="8" xfId="0" applyNumberFormat="1" applyFont="1" applyBorder="1"/>
    <xf numFmtId="22" fontId="16" fillId="0" borderId="11" xfId="0" applyNumberFormat="1" applyFont="1" applyBorder="1"/>
    <xf numFmtId="22" fontId="16" fillId="0" borderId="5" xfId="0" applyNumberFormat="1" applyFont="1" applyBorder="1"/>
    <xf numFmtId="0" fontId="0" fillId="0" borderId="3" xfId="0" applyBorder="1"/>
    <xf numFmtId="0" fontId="0" fillId="0" borderId="2" xfId="0" applyBorder="1"/>
    <xf numFmtId="0" fontId="16" fillId="0" borderId="11" xfId="0" applyFont="1" applyBorder="1"/>
    <xf numFmtId="0" fontId="16" fillId="0" borderId="13" xfId="0" applyFont="1" applyBorder="1"/>
    <xf numFmtId="0" fontId="12" fillId="5" borderId="2" xfId="0" applyFont="1" applyFill="1" applyBorder="1"/>
    <xf numFmtId="0" fontId="1" fillId="0" borderId="17" xfId="0" applyFont="1" applyBorder="1"/>
    <xf numFmtId="0" fontId="1" fillId="0" borderId="18" xfId="0" applyFont="1" applyBorder="1"/>
    <xf numFmtId="22" fontId="1" fillId="0" borderId="18" xfId="0" applyNumberFormat="1" applyFont="1" applyBorder="1"/>
    <xf numFmtId="0" fontId="16" fillId="0" borderId="18" xfId="0" applyFont="1" applyBorder="1"/>
    <xf numFmtId="0" fontId="14" fillId="0" borderId="19" xfId="0" applyFont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22" fontId="1" fillId="0" borderId="21" xfId="0" applyNumberFormat="1" applyFont="1" applyBorder="1"/>
    <xf numFmtId="0" fontId="16" fillId="0" borderId="21" xfId="0" applyFont="1" applyBorder="1"/>
    <xf numFmtId="0" fontId="14" fillId="0" borderId="22" xfId="0" applyFont="1" applyBorder="1" applyAlignment="1">
      <alignment horizontal="center"/>
    </xf>
    <xf numFmtId="0" fontId="1" fillId="9" borderId="18" xfId="0" applyFont="1" applyFill="1" applyBorder="1"/>
    <xf numFmtId="0" fontId="1" fillId="9" borderId="21" xfId="0" applyFont="1" applyFill="1" applyBorder="1"/>
    <xf numFmtId="22" fontId="16" fillId="0" borderId="18" xfId="0" applyNumberFormat="1" applyFont="1" applyBorder="1"/>
    <xf numFmtId="22" fontId="16" fillId="0" borderId="21" xfId="0" applyNumberFormat="1" applyFont="1" applyBorder="1"/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0" fillId="0" borderId="21" xfId="0" applyBorder="1"/>
    <xf numFmtId="0" fontId="0" fillId="0" borderId="18" xfId="0" applyBorder="1"/>
    <xf numFmtId="14" fontId="5" fillId="8" borderId="0" xfId="0" applyNumberFormat="1" applyFont="1" applyFill="1" applyAlignment="1">
      <alignment horizontal="center"/>
    </xf>
    <xf numFmtId="0" fontId="5" fillId="9" borderId="0" xfId="0" applyFont="1" applyFill="1" applyAlignment="1">
      <alignment horizontal="center"/>
    </xf>
    <xf numFmtId="14" fontId="5" fillId="9" borderId="0" xfId="0" applyNumberFormat="1" applyFont="1" applyFill="1" applyAlignment="1">
      <alignment horizontal="center"/>
    </xf>
    <xf numFmtId="0" fontId="14" fillId="9" borderId="22" xfId="0" applyFont="1" applyFill="1" applyBorder="1" applyAlignment="1">
      <alignment horizontal="center"/>
    </xf>
    <xf numFmtId="0" fontId="19" fillId="0" borderId="0" xfId="0" applyFont="1"/>
    <xf numFmtId="0" fontId="7" fillId="0" borderId="21" xfId="0" applyFont="1" applyBorder="1"/>
    <xf numFmtId="0" fontId="7" fillId="0" borderId="18" xfId="0" applyFont="1" applyBorder="1"/>
    <xf numFmtId="0" fontId="1" fillId="3" borderId="18" xfId="0" applyFont="1" applyFill="1" applyBorder="1"/>
    <xf numFmtId="14" fontId="5" fillId="3" borderId="0" xfId="0" applyNumberFormat="1" applyFont="1" applyFill="1" applyAlignment="1">
      <alignment horizontal="center"/>
    </xf>
    <xf numFmtId="0" fontId="7" fillId="9" borderId="0" xfId="0" applyFont="1" applyFill="1"/>
    <xf numFmtId="0" fontId="14" fillId="0" borderId="19" xfId="0" applyFont="1" applyBorder="1" applyAlignment="1">
      <alignment horizontal="center" wrapText="1"/>
    </xf>
    <xf numFmtId="0" fontId="14" fillId="9" borderId="19" xfId="0" applyFont="1" applyFill="1" applyBorder="1" applyAlignment="1">
      <alignment horizontal="center"/>
    </xf>
    <xf numFmtId="0" fontId="7" fillId="9" borderId="21" xfId="0" applyFont="1" applyFill="1" applyBorder="1"/>
    <xf numFmtId="0" fontId="3" fillId="0" borderId="21" xfId="0" applyFont="1" applyBorder="1"/>
    <xf numFmtId="0" fontId="2" fillId="0" borderId="18" xfId="1" applyBorder="1"/>
    <xf numFmtId="0" fontId="2" fillId="0" borderId="0" xfId="1" applyBorder="1"/>
    <xf numFmtId="22" fontId="16" fillId="0" borderId="18" xfId="0" applyNumberFormat="1" applyFont="1" applyBorder="1" applyAlignment="1">
      <alignment wrapText="1"/>
    </xf>
    <xf numFmtId="0" fontId="18" fillId="0" borderId="12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2" fillId="0" borderId="18" xfId="1" applyFill="1" applyBorder="1" applyAlignment="1"/>
  </cellXfs>
  <cellStyles count="2">
    <cellStyle name="Hyperlink" xfId="1" xr:uid="{00000000-000B-0000-0000-000008000000}"/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z val="10"/>
        <color rgb="FFC00000"/>
      </font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4472C4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4472C4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7" formatCode="dd/mm/yyyy\ h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6591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6591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5B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ocumenttasks/documenttask1.xml><?xml version="1.0" encoding="utf-8"?>
<Tasks xmlns="http://schemas.microsoft.com/office/tasks/2019/documenttasks">
  <Task id="{3F9D4A84-A2C4-431C-8113-EE9BE52C2444}">
    <Anchor>
      <Comment id="{D2160266-645A-40FE-91F2-6D4D5A40CD68}"/>
    </Anchor>
    <History>
      <Event time="2025-03-25T15:30:29.31" id="{C1C39DBA-A703-4643-8071-2F7F4AE060D3}">
        <Attribution userId="S::mlawson@afwasa.org::d43d9946-ac08-4356-b818-43835a621638" userName="Micheline LAWSON" userProvider="AD"/>
        <Anchor>
          <Comment id="{D2160266-645A-40FE-91F2-6D4D5A40CD68}"/>
        </Anchor>
        <Create/>
      </Event>
      <Event time="2025-03-25T15:30:29.31" id="{C7AAD119-1AC1-4A6C-9649-394B54149E81}">
        <Attribution userId="S::mlawson@afwasa.org::d43d9946-ac08-4356-b818-43835a621638" userName="Micheline LAWSON" userProvider="AD"/>
        <Anchor>
          <Comment id="{D2160266-645A-40FE-91F2-6D4D5A40CD68}"/>
        </Anchor>
        <Assign userId="S::fmabio@afwasa.org::c9560585-70e9-40b4-bc0c-1056dcdbda40" userName="Franck Olivier MABIO" userProvider="AD"/>
      </Event>
      <Event time="2025-03-25T15:30:29.31" id="{A4423523-68CB-4EC1-9610-D5F361F3685D}">
        <Attribution userId="S::mlawson@afwasa.org::d43d9946-ac08-4356-b818-43835a621638" userName="Micheline LAWSON" userProvider="AD"/>
        <Anchor>
          <Comment id="{D2160266-645A-40FE-91F2-6D4D5A40CD68}"/>
        </Anchor>
        <SetTitle title="@Alexandre KANGA wrong category and invoice @Franck Olivier MABIO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Alexandre KANGA" id="{AB9E2324-AC8B-42D6-998A-5919B0350C21}" userId="akanga@afwasa.org" providerId="PeoplePicker"/>
  <person displayName="Franck Olivier MABIO" id="{A851D34E-02E5-4FA0-9691-8DF9C9D87BC5}" userId="fmabio@afwasa.org" providerId="PeoplePicker"/>
  <person displayName="Alexandre KANGA" id="{36A1FC45-6CF7-49B3-8A08-28BCA580DB13}" userId="S::akanga@afwasa.org::3f4baef0-35de-4c46-ac53-fac222785d2e" providerId="AD"/>
  <person displayName="Franck Olivier MABIO" id="{ADF86C8E-5FA5-4819-B506-3717E7346321}" userId="S::fmabio@afwasa.org::c9560585-70e9-40b4-bc0c-1056dcdbda40" providerId="AD"/>
  <person displayName="Micheline LAWSON" id="{B0615598-1EA6-4CEA-B7F7-62DCD25B2C95}" userId="S::mlawson@afwasa.org::d43d9946-ac08-4356-b818-43835a62163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EA8D4C-903C-4759-AEC5-0DC4396DA876}" name="Tableau7" displayName="Tableau7" ref="A1:O854" totalsRowShown="0" headerRowDxfId="32" dataDxfId="31">
  <autoFilter ref="A1:O854" xr:uid="{3FEA8D4C-903C-4759-AEC5-0DC4396DA876}"/>
  <sortState xmlns:xlrd2="http://schemas.microsoft.com/office/spreadsheetml/2017/richdata2" ref="A2:O817">
    <sortCondition ref="J1:J817"/>
  </sortState>
  <tableColumns count="15">
    <tableColumn id="1" xr3:uid="{42907ECD-1A12-452C-B728-5896D74960C8}" name="PLAN_ADHESION" dataDxfId="30" totalsRowDxfId="29"/>
    <tableColumn id="2" xr3:uid="{AFC0E39A-DB8B-49B1-8D7F-640180EB585D}" name="SOCIETE / INSTITUTION / UNIVERSITE" dataDxfId="28" totalsRowDxfId="27"/>
    <tableColumn id="4" xr3:uid="{7A1A32B9-2E63-45E2-96B2-690C9B34EF5B}" name="PAYS" dataDxfId="26" totalsRowDxfId="25"/>
    <tableColumn id="5" xr3:uid="{0F6276F9-556C-48EC-89DF-70089CAA3975}" name="EMAIL" dataDxfId="24" totalsRowDxfId="23"/>
    <tableColumn id="6" xr3:uid="{7BC1AD41-6965-40F5-AD6C-4FE2F3F383B4}" name="MONTANT" dataDxfId="22" totalsRowDxfId="21"/>
    <tableColumn id="7" xr3:uid="{38D6A5AE-B287-4B80-A00F-CDBBF337B244}" name="DATE INSCRIPTION" dataDxfId="20" totalsRowDxfId="19"/>
    <tableColumn id="8" xr3:uid="{EC724AEE-B79A-477E-8857-858E3E7E08C5}" name="NUM FACTURE" dataDxfId="18" totalsRowDxfId="17"/>
    <tableColumn id="9" xr3:uid="{1D382F33-9369-4F79-A715-CCDABF0EBF47}" name="MODE PAIEMENT" dataDxfId="16" totalsRowDxfId="15"/>
    <tableColumn id="10" xr3:uid="{BF4D75A0-C8CB-4068-908D-3EB660F13EB8}" name="DATE PAIEMENT / ACTIVATION" dataDxfId="14" totalsRowDxfId="13"/>
    <tableColumn id="11" xr3:uid="{728349FE-B0DA-4C7C-B2D4-FBB10E90DAE1}" name="ID" dataDxfId="12" totalsRowDxfId="11"/>
    <tableColumn id="12" xr3:uid="{03F9F4FA-FD25-49E7-B01A-CEB5AB2A2AFD}" name="EST ACTIVE ?" dataDxfId="10" totalsRowDxfId="9">
      <calculatedColumnFormula>IF(AND(NOT(ISBLANK(I2)), NOT(ISBLANK(M2))), "OUI", "")</calculatedColumnFormula>
    </tableColumn>
    <tableColumn id="13" xr3:uid="{7DE35D4E-DB46-4998-A92D-5CCA492E324A}" name="TYPE ADHESION" dataDxfId="8" totalsRowDxfId="7"/>
    <tableColumn id="14" xr3:uid="{A546FF08-F2B4-4819-B2E2-F1A9ABE98982}" name="CODE MEMBRE" dataDxfId="6" totalsRowDxfId="5"/>
    <tableColumn id="15" xr3:uid="{8068EDE9-3489-4450-BCA7-FA3463455904}" name="DATE PAIEMENT COMPTABILITE" dataDxfId="4" totalsRowDxfId="3"/>
    <tableColumn id="17" xr3:uid="{958A8276-CACA-4420-B048-A59CA38A7B39}" name="A PAYE ?" dataDxfId="2" totalsRowDxfId="1">
      <calculatedColumnFormula>IF(AND(ISBLANK(I2), ISBLANK(N2)), "", "OUI")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5" dT="2024-02-14T08:50:47.33" personId="{ADF86C8E-5FA5-4819-B506-3717E7346321}" id="{B0962749-4537-4C3E-A84B-515EBAF605A6}" done="1">
    <text>27/12/2022 Date du reçu</text>
  </threadedComment>
  <threadedComment ref="H133" dT="2023-10-16T12:26:00.53" personId="{36A1FC45-6CF7-49B3-8A08-28BCA580DB13}" id="{04D509D2-92C2-423B-B496-B932A6EAD3B7}">
    <text>orange money</text>
  </threadedComment>
  <threadedComment ref="L144" dT="2023-10-04T19:07:07.93" personId="{36A1FC45-6CF7-49B3-8A08-28BCA580DB13}" id="{119D2FA3-9E94-4010-8A68-25137D2A903D}">
    <text>renouvellement pour 2024</text>
  </threadedComment>
  <threadedComment ref="M360" dT="2025-06-11T11:00:26.30" personId="{B0615598-1EA6-4CEA-B7F7-62DCD25B2C95}" id="{A4A454CD-0512-4EC7-AFA4-CE7E6CA4E731}">
    <text xml:space="preserve">email demande de re-adhesion envoye
</text>
  </threadedComment>
  <threadedComment ref="B402" dT="2025-03-25T15:30:29.80" personId="{B0615598-1EA6-4CEA-B7F7-62DCD25B2C95}" id="{D2160266-645A-40FE-91F2-6D4D5A40CD68}">
    <text xml:space="preserve">@Alexandre KANGA wrong category and invoice @Franck Olivier MABIO </text>
    <mentions>
      <mention mentionpersonId="{AB9E2324-AC8B-42D6-998A-5919B0350C21}" mentionId="{6F895AAA-373B-47BB-AA26-B106DE428C35}" startIndex="0" length="16"/>
      <mention mentionpersonId="{A851D34E-02E5-4FA0-9691-8DF9C9D87BC5}" mentionId="{3ECD6148-6868-4979-A83C-147B81FF127C}" startIndex="44" length="2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kalua@waterforpeople.org;%20wmitole@waterforpeople.org" TargetMode="External"/><Relationship Id="rId13" Type="http://schemas.microsoft.com/office/2019/04/relationships/documenttask" Target="../documenttasks/documenttask1.xml"/><Relationship Id="rId3" Type="http://schemas.openxmlformats.org/officeDocument/2006/relationships/hyperlink" Target="mailto:pbishop@gowpi.org" TargetMode="External"/><Relationship Id="rId7" Type="http://schemas.openxmlformats.org/officeDocument/2006/relationships/hyperlink" Target="mailto:pkalua@waterforpeople.org;%20wmitole@waterforpeople.org" TargetMode="External"/><Relationship Id="rId12" Type="http://schemas.microsoft.com/office/2017/10/relationships/threadedComment" Target="../threadedComments/threadedComment1.xml"/><Relationship Id="rId2" Type="http://schemas.openxmlformats.org/officeDocument/2006/relationships/hyperlink" Target="mailto:s.marconi@caprari.it" TargetMode="External"/><Relationship Id="rId1" Type="http://schemas.openxmlformats.org/officeDocument/2006/relationships/hyperlink" Target="mailto:f.ndao@seoh.sn" TargetMode="External"/><Relationship Id="rId6" Type="http://schemas.openxmlformats.org/officeDocument/2006/relationships/hyperlink" Target="mailto:smebrathu@gmail.com;%20ahmedmuktar83@gmail.com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contact@apaapasa.org;%20kbawa@apaapasa.org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contact@ymejibu.com;%20jack.kahorha@ymejibu.com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A761-DF9C-49F5-A225-884D9780B989}">
  <sheetPr>
    <tabColor rgb="FFFFFF00"/>
  </sheetPr>
  <dimension ref="A1:S854"/>
  <sheetViews>
    <sheetView tabSelected="1" workbookViewId="0">
      <pane ySplit="1" topLeftCell="A822" activePane="bottomLeft" state="frozen"/>
      <selection pane="bottomLeft" activeCell="R833" sqref="R833"/>
    </sheetView>
  </sheetViews>
  <sheetFormatPr baseColWidth="10" defaultColWidth="9.109375" defaultRowHeight="15" customHeight="1" x14ac:dyDescent="0.3"/>
  <cols>
    <col min="1" max="1" width="65" style="6" customWidth="1"/>
    <col min="2" max="2" width="35.5546875" style="11" customWidth="1"/>
    <col min="3" max="3" width="30.33203125" style="6" customWidth="1"/>
    <col min="4" max="4" width="21.6640625" style="6" customWidth="1"/>
    <col min="5" max="5" width="13" style="6" bestFit="1" customWidth="1"/>
    <col min="6" max="6" width="20.33203125" style="6" customWidth="1"/>
    <col min="7" max="7" width="12.33203125" style="6" customWidth="1"/>
    <col min="8" max="8" width="17.109375" style="6" customWidth="1"/>
    <col min="9" max="9" width="28" style="12" bestFit="1" customWidth="1"/>
    <col min="10" max="10" width="6.5546875" style="6" customWidth="1"/>
    <col min="11" max="11" width="13.44140625" style="19" bestFit="1" customWidth="1"/>
    <col min="12" max="12" width="15.33203125" style="6" customWidth="1"/>
    <col min="13" max="13" width="21.88671875" style="45" customWidth="1"/>
    <col min="14" max="14" width="25" style="19" customWidth="1"/>
    <col min="15" max="15" width="15.6640625" style="17" customWidth="1"/>
  </cols>
  <sheetData>
    <row r="1" spans="1:15" s="4" customFormat="1" ht="14.4" x14ac:dyDescent="0.3">
      <c r="A1" s="8" t="s">
        <v>0</v>
      </c>
      <c r="B1" s="22" t="s">
        <v>166</v>
      </c>
      <c r="C1" s="8" t="s">
        <v>2</v>
      </c>
      <c r="D1" s="6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22" t="s">
        <v>167</v>
      </c>
      <c r="J1" s="9" t="s">
        <v>168</v>
      </c>
      <c r="K1" s="20" t="s">
        <v>169</v>
      </c>
      <c r="L1" s="8" t="s">
        <v>9</v>
      </c>
      <c r="M1" s="40" t="s">
        <v>8</v>
      </c>
      <c r="N1" s="7" t="s">
        <v>170</v>
      </c>
      <c r="O1" s="15" t="s">
        <v>204</v>
      </c>
    </row>
    <row r="2" spans="1:15" s="3" customFormat="1" ht="15.75" customHeight="1" x14ac:dyDescent="0.3">
      <c r="A2" s="1" t="s">
        <v>28</v>
      </c>
      <c r="B2" s="10" t="s">
        <v>205</v>
      </c>
      <c r="C2" s="1" t="s">
        <v>206</v>
      </c>
      <c r="D2" t="s">
        <v>207</v>
      </c>
      <c r="E2" s="1" t="s">
        <v>31</v>
      </c>
      <c r="F2" s="5">
        <v>45861.52847222222</v>
      </c>
      <c r="G2" s="1">
        <v>483</v>
      </c>
      <c r="H2" s="1" t="s">
        <v>14</v>
      </c>
      <c r="I2" s="23">
        <v>45499.719444444447</v>
      </c>
      <c r="J2" s="1">
        <v>493</v>
      </c>
      <c r="K2" s="18" t="str">
        <f t="shared" ref="K2:K33" si="0">IF(AND(NOT(ISBLANK(I2)), NOT(ISBLANK(M2))), "OUI", "")</f>
        <v>OUI</v>
      </c>
      <c r="L2" s="1" t="s">
        <v>16</v>
      </c>
      <c r="M2" s="41" t="s">
        <v>208</v>
      </c>
      <c r="N2" s="19"/>
      <c r="O2" s="16" t="str">
        <f t="shared" ref="O2:O65" si="1">IF(AND(ISBLANK(I2), ISBLANK(N2)), "", "OUI")</f>
        <v>OUI</v>
      </c>
    </row>
    <row r="3" spans="1:15" s="3" customFormat="1" ht="14.4" x14ac:dyDescent="0.3">
      <c r="A3" s="89" t="s">
        <v>209</v>
      </c>
      <c r="B3" s="10" t="s">
        <v>163</v>
      </c>
      <c r="C3" s="1" t="s">
        <v>109</v>
      </c>
      <c r="D3" t="s">
        <v>164</v>
      </c>
      <c r="E3" s="1" t="s">
        <v>160</v>
      </c>
      <c r="F3" s="5">
        <v>44930.469444444447</v>
      </c>
      <c r="G3" s="1">
        <v>518</v>
      </c>
      <c r="H3" s="1" t="s">
        <v>14</v>
      </c>
      <c r="I3" s="23">
        <v>44930.469444444447</v>
      </c>
      <c r="J3" s="1">
        <v>581</v>
      </c>
      <c r="K3" s="18" t="str">
        <f t="shared" si="0"/>
        <v>OUI</v>
      </c>
      <c r="L3" s="1" t="s">
        <v>165</v>
      </c>
      <c r="M3" s="21" t="s">
        <v>171</v>
      </c>
      <c r="N3" s="38">
        <v>44930</v>
      </c>
      <c r="O3" s="16" t="str">
        <f t="shared" si="1"/>
        <v>OUI</v>
      </c>
    </row>
    <row r="4" spans="1:15" ht="14.4" x14ac:dyDescent="0.3">
      <c r="A4" s="67" t="s">
        <v>99</v>
      </c>
      <c r="B4" s="10" t="s">
        <v>161</v>
      </c>
      <c r="C4" s="1" t="s">
        <v>36</v>
      </c>
      <c r="D4" s="6" t="s">
        <v>162</v>
      </c>
      <c r="E4" s="1" t="s">
        <v>160</v>
      </c>
      <c r="F4" s="5">
        <v>44951.499305555553</v>
      </c>
      <c r="G4" s="1">
        <v>522</v>
      </c>
      <c r="H4" s="1" t="s">
        <v>14</v>
      </c>
      <c r="I4" s="23">
        <v>45083.56181712963</v>
      </c>
      <c r="J4" s="1">
        <v>715</v>
      </c>
      <c r="K4" s="18" t="str">
        <f t="shared" si="0"/>
        <v>OUI</v>
      </c>
      <c r="L4" s="1" t="s">
        <v>16</v>
      </c>
      <c r="M4" s="21" t="s">
        <v>210</v>
      </c>
      <c r="N4" s="38">
        <v>45057</v>
      </c>
      <c r="O4" s="16" t="str">
        <f t="shared" si="1"/>
        <v>OUI</v>
      </c>
    </row>
    <row r="5" spans="1:15" ht="14.4" x14ac:dyDescent="0.3">
      <c r="A5" s="89" t="s">
        <v>209</v>
      </c>
      <c r="B5" s="10" t="s">
        <v>158</v>
      </c>
      <c r="C5" s="1" t="s">
        <v>172</v>
      </c>
      <c r="D5" s="1" t="s">
        <v>159</v>
      </c>
      <c r="E5" s="1" t="s">
        <v>160</v>
      </c>
      <c r="F5" s="5">
        <v>44953.342361111114</v>
      </c>
      <c r="G5" s="1">
        <v>528</v>
      </c>
      <c r="H5" s="1" t="s">
        <v>14</v>
      </c>
      <c r="I5" s="23">
        <v>45041.391817129632</v>
      </c>
      <c r="J5" s="1">
        <v>782</v>
      </c>
      <c r="K5" s="18" t="str">
        <f t="shared" si="0"/>
        <v>OUI</v>
      </c>
      <c r="L5" s="1" t="s">
        <v>16</v>
      </c>
      <c r="M5" s="41" t="s">
        <v>211</v>
      </c>
      <c r="N5" s="38">
        <v>44953</v>
      </c>
      <c r="O5" s="16" t="str">
        <f t="shared" si="1"/>
        <v>OUI</v>
      </c>
    </row>
    <row r="6" spans="1:15" ht="14.4" x14ac:dyDescent="0.3">
      <c r="A6" s="1" t="s">
        <v>212</v>
      </c>
      <c r="B6" s="10" t="s">
        <v>139</v>
      </c>
      <c r="C6" s="1" t="s">
        <v>156</v>
      </c>
      <c r="D6" t="s">
        <v>140</v>
      </c>
      <c r="E6" s="1" t="s">
        <v>155</v>
      </c>
      <c r="F6" s="5">
        <v>44953.460416666669</v>
      </c>
      <c r="G6" s="1">
        <v>529</v>
      </c>
      <c r="H6" s="1" t="s">
        <v>24</v>
      </c>
      <c r="I6" s="23">
        <v>44953.460416666669</v>
      </c>
      <c r="J6" s="1">
        <v>783</v>
      </c>
      <c r="K6" s="18" t="str">
        <f t="shared" si="0"/>
        <v>OUI</v>
      </c>
      <c r="L6" s="1" t="s">
        <v>16</v>
      </c>
      <c r="M6" s="41" t="s">
        <v>173</v>
      </c>
      <c r="N6" s="38">
        <v>44953</v>
      </c>
      <c r="O6" s="16" t="str">
        <f t="shared" si="1"/>
        <v>OUI</v>
      </c>
    </row>
    <row r="7" spans="1:15" ht="14.4" x14ac:dyDescent="0.3">
      <c r="A7" s="1" t="s">
        <v>153</v>
      </c>
      <c r="B7" s="10" t="s">
        <v>174</v>
      </c>
      <c r="C7" s="1" t="s">
        <v>88</v>
      </c>
      <c r="D7" t="s">
        <v>154</v>
      </c>
      <c r="E7" s="1" t="s">
        <v>155</v>
      </c>
      <c r="F7" s="5">
        <v>44956.538888888892</v>
      </c>
      <c r="G7" s="1">
        <v>535</v>
      </c>
      <c r="H7" s="1" t="s">
        <v>14</v>
      </c>
      <c r="I7" s="24"/>
      <c r="J7" s="1">
        <v>812</v>
      </c>
      <c r="K7" s="18" t="str">
        <f t="shared" si="0"/>
        <v/>
      </c>
      <c r="L7" s="1" t="s">
        <v>16</v>
      </c>
      <c r="M7" s="41"/>
      <c r="O7" s="16" t="str">
        <f t="shared" si="1"/>
        <v/>
      </c>
    </row>
    <row r="8" spans="1:15" ht="14.4" x14ac:dyDescent="0.3">
      <c r="A8" s="1" t="s">
        <v>150</v>
      </c>
      <c r="B8" s="10" t="s">
        <v>151</v>
      </c>
      <c r="C8" s="1" t="s">
        <v>175</v>
      </c>
      <c r="D8" s="1" t="s">
        <v>152</v>
      </c>
      <c r="E8" s="1" t="s">
        <v>33</v>
      </c>
      <c r="F8" s="5">
        <v>44958.630555555559</v>
      </c>
      <c r="G8" s="1">
        <v>538</v>
      </c>
      <c r="H8" s="1" t="s">
        <v>14</v>
      </c>
      <c r="I8" s="23">
        <v>45009.351261574076</v>
      </c>
      <c r="J8" s="1">
        <v>823</v>
      </c>
      <c r="K8" s="18" t="str">
        <f t="shared" si="0"/>
        <v>OUI</v>
      </c>
      <c r="L8" s="1" t="s">
        <v>16</v>
      </c>
      <c r="M8" s="41" t="s">
        <v>176</v>
      </c>
      <c r="N8" s="38">
        <v>44972</v>
      </c>
      <c r="O8" s="16" t="str">
        <f t="shared" si="1"/>
        <v>OUI</v>
      </c>
    </row>
    <row r="9" spans="1:15" ht="14.4" x14ac:dyDescent="0.3">
      <c r="A9" s="1" t="s">
        <v>34</v>
      </c>
      <c r="B9" s="10" t="s">
        <v>147</v>
      </c>
      <c r="C9" s="1" t="s">
        <v>88</v>
      </c>
      <c r="D9" t="s">
        <v>148</v>
      </c>
      <c r="E9" s="1" t="s">
        <v>38</v>
      </c>
      <c r="F9" s="5">
        <v>44960.472916666666</v>
      </c>
      <c r="G9" s="1">
        <v>539</v>
      </c>
      <c r="H9" s="1" t="s">
        <v>24</v>
      </c>
      <c r="I9" s="23">
        <v>44960.472916666666</v>
      </c>
      <c r="J9" s="1">
        <v>824</v>
      </c>
      <c r="K9" s="18" t="str">
        <f t="shared" si="0"/>
        <v>OUI</v>
      </c>
      <c r="L9" s="1" t="s">
        <v>16</v>
      </c>
      <c r="M9" s="41" t="s">
        <v>149</v>
      </c>
      <c r="N9" s="38">
        <v>44960</v>
      </c>
      <c r="O9" s="16" t="str">
        <f t="shared" si="1"/>
        <v>OUI</v>
      </c>
    </row>
    <row r="10" spans="1:15" ht="14.4" x14ac:dyDescent="0.3">
      <c r="A10" s="1" t="s">
        <v>34</v>
      </c>
      <c r="B10" s="10" t="s">
        <v>143</v>
      </c>
      <c r="C10" s="1" t="s">
        <v>144</v>
      </c>
      <c r="D10" t="s">
        <v>145</v>
      </c>
      <c r="E10" s="1" t="s">
        <v>38</v>
      </c>
      <c r="F10" s="5">
        <v>44962.539583333331</v>
      </c>
      <c r="G10" s="1">
        <v>540</v>
      </c>
      <c r="H10" s="1" t="s">
        <v>24</v>
      </c>
      <c r="I10" s="23">
        <v>44962.539583333331</v>
      </c>
      <c r="J10" s="1">
        <v>825</v>
      </c>
      <c r="K10" s="18" t="str">
        <f t="shared" si="0"/>
        <v>OUI</v>
      </c>
      <c r="L10" s="1" t="s">
        <v>16</v>
      </c>
      <c r="M10" s="41" t="s">
        <v>146</v>
      </c>
      <c r="N10" s="38">
        <v>44962</v>
      </c>
      <c r="O10" s="16" t="str">
        <f t="shared" si="1"/>
        <v>OUI</v>
      </c>
    </row>
    <row r="11" spans="1:15" ht="14.4" x14ac:dyDescent="0.3">
      <c r="A11" s="1" t="s">
        <v>34</v>
      </c>
      <c r="B11" s="10" t="s">
        <v>141</v>
      </c>
      <c r="C11" s="1" t="s">
        <v>26</v>
      </c>
      <c r="D11" t="s">
        <v>142</v>
      </c>
      <c r="E11" s="1" t="s">
        <v>38</v>
      </c>
      <c r="F11" s="5">
        <v>44963.76666666667</v>
      </c>
      <c r="G11" s="1">
        <v>541</v>
      </c>
      <c r="H11" s="1" t="s">
        <v>14</v>
      </c>
      <c r="I11" s="24"/>
      <c r="J11" s="1">
        <v>826</v>
      </c>
      <c r="K11" s="18" t="str">
        <f t="shared" si="0"/>
        <v/>
      </c>
      <c r="L11" s="1" t="s">
        <v>16</v>
      </c>
      <c r="M11" s="41"/>
      <c r="O11" s="16" t="str">
        <f t="shared" si="1"/>
        <v/>
      </c>
    </row>
    <row r="12" spans="1:15" ht="14.4" x14ac:dyDescent="0.3">
      <c r="A12" s="1" t="s">
        <v>209</v>
      </c>
      <c r="B12" s="10" t="s">
        <v>139</v>
      </c>
      <c r="C12" s="1" t="s">
        <v>156</v>
      </c>
      <c r="D12" t="s">
        <v>157</v>
      </c>
      <c r="E12" s="1" t="s">
        <v>57</v>
      </c>
      <c r="F12" s="5">
        <v>44972.591666666667</v>
      </c>
      <c r="G12" s="1">
        <v>542</v>
      </c>
      <c r="H12" s="1" t="s">
        <v>24</v>
      </c>
      <c r="I12" s="23">
        <v>44972.591666666667</v>
      </c>
      <c r="J12" s="1">
        <v>828</v>
      </c>
      <c r="K12" s="18" t="str">
        <f t="shared" si="0"/>
        <v>OUI</v>
      </c>
      <c r="L12" s="1" t="s">
        <v>16</v>
      </c>
      <c r="M12" s="41" t="s">
        <v>213</v>
      </c>
      <c r="N12" s="38">
        <v>44972</v>
      </c>
      <c r="O12" s="16" t="str">
        <f t="shared" si="1"/>
        <v>OUI</v>
      </c>
    </row>
    <row r="13" spans="1:15" ht="14.4" x14ac:dyDescent="0.3">
      <c r="A13" s="1" t="s">
        <v>34</v>
      </c>
      <c r="B13" s="10" t="s">
        <v>136</v>
      </c>
      <c r="C13" s="1" t="s">
        <v>66</v>
      </c>
      <c r="D13" t="s">
        <v>137</v>
      </c>
      <c r="E13" s="1" t="s">
        <v>38</v>
      </c>
      <c r="F13" s="5">
        <v>44975.692361111112</v>
      </c>
      <c r="G13" s="1">
        <v>543</v>
      </c>
      <c r="H13" s="1" t="s">
        <v>24</v>
      </c>
      <c r="I13" s="23">
        <v>44975.693055555559</v>
      </c>
      <c r="J13" s="1">
        <v>829</v>
      </c>
      <c r="K13" s="18" t="str">
        <f t="shared" si="0"/>
        <v>OUI</v>
      </c>
      <c r="L13" s="1" t="s">
        <v>16</v>
      </c>
      <c r="M13" s="41" t="s">
        <v>138</v>
      </c>
      <c r="N13" s="38">
        <v>44975</v>
      </c>
      <c r="O13" s="16" t="str">
        <f t="shared" si="1"/>
        <v>OUI</v>
      </c>
    </row>
    <row r="14" spans="1:15" ht="14.4" x14ac:dyDescent="0.3">
      <c r="A14" s="1" t="s">
        <v>28</v>
      </c>
      <c r="B14" s="10" t="s">
        <v>134</v>
      </c>
      <c r="C14" s="1" t="s">
        <v>66</v>
      </c>
      <c r="D14" s="1" t="s">
        <v>135</v>
      </c>
      <c r="E14" s="1" t="s">
        <v>31</v>
      </c>
      <c r="F14" s="5">
        <v>44977.425694444442</v>
      </c>
      <c r="G14" s="1">
        <v>544</v>
      </c>
      <c r="H14" s="1" t="s">
        <v>14</v>
      </c>
      <c r="I14" s="24"/>
      <c r="J14" s="1">
        <v>830</v>
      </c>
      <c r="K14" s="18" t="str">
        <f t="shared" si="0"/>
        <v/>
      </c>
      <c r="L14" s="1" t="s">
        <v>16</v>
      </c>
      <c r="M14" s="41"/>
      <c r="O14" s="16" t="str">
        <f t="shared" si="1"/>
        <v/>
      </c>
    </row>
    <row r="15" spans="1:15" ht="14.4" x14ac:dyDescent="0.3">
      <c r="A15" s="1" t="s">
        <v>99</v>
      </c>
      <c r="B15" s="10" t="s">
        <v>177</v>
      </c>
      <c r="C15" s="1" t="s">
        <v>88</v>
      </c>
      <c r="D15" t="s">
        <v>133</v>
      </c>
      <c r="E15" s="1" t="s">
        <v>13</v>
      </c>
      <c r="F15" s="5">
        <v>44977.456250000003</v>
      </c>
      <c r="G15" s="1">
        <v>545</v>
      </c>
      <c r="H15" s="1" t="s">
        <v>14</v>
      </c>
      <c r="I15" s="23">
        <v>44993.507638888892</v>
      </c>
      <c r="J15" s="1">
        <v>831</v>
      </c>
      <c r="K15" s="18" t="str">
        <f t="shared" si="0"/>
        <v>OUI</v>
      </c>
      <c r="L15" s="1" t="s">
        <v>16</v>
      </c>
      <c r="M15" s="41" t="s">
        <v>178</v>
      </c>
      <c r="N15" s="38">
        <v>44978</v>
      </c>
      <c r="O15" s="16" t="str">
        <f t="shared" si="1"/>
        <v>OUI</v>
      </c>
    </row>
    <row r="16" spans="1:15" ht="14.4" x14ac:dyDescent="0.3">
      <c r="A16" s="1" t="s">
        <v>34</v>
      </c>
      <c r="B16" s="10" t="s">
        <v>83</v>
      </c>
      <c r="C16" s="1" t="s">
        <v>26</v>
      </c>
      <c r="D16" t="s">
        <v>132</v>
      </c>
      <c r="E16" s="1" t="s">
        <v>38</v>
      </c>
      <c r="F16" s="5">
        <v>44977.629861111112</v>
      </c>
      <c r="G16" s="1">
        <v>546</v>
      </c>
      <c r="H16" s="1" t="s">
        <v>14</v>
      </c>
      <c r="I16" s="23">
        <v>45009.355115740742</v>
      </c>
      <c r="J16" s="1">
        <v>832</v>
      </c>
      <c r="K16" s="18" t="str">
        <f t="shared" si="0"/>
        <v>OUI</v>
      </c>
      <c r="L16" s="1" t="s">
        <v>16</v>
      </c>
      <c r="M16" s="41" t="s">
        <v>179</v>
      </c>
      <c r="N16" s="38">
        <v>44979</v>
      </c>
      <c r="O16" s="16" t="str">
        <f t="shared" si="1"/>
        <v>OUI</v>
      </c>
    </row>
    <row r="17" spans="1:15" ht="14.4" x14ac:dyDescent="0.3">
      <c r="A17" s="1" t="s">
        <v>20</v>
      </c>
      <c r="B17" s="10" t="s">
        <v>130</v>
      </c>
      <c r="C17" s="1" t="s">
        <v>66</v>
      </c>
      <c r="D17" s="1" t="s">
        <v>131</v>
      </c>
      <c r="E17" s="1" t="s">
        <v>23</v>
      </c>
      <c r="F17" s="5">
        <v>44977.642361111109</v>
      </c>
      <c r="G17" s="1">
        <v>547</v>
      </c>
      <c r="H17" s="1" t="s">
        <v>14</v>
      </c>
      <c r="I17" s="23">
        <v>45600.466643518521</v>
      </c>
      <c r="J17" s="1">
        <v>833</v>
      </c>
      <c r="K17" s="18" t="str">
        <f t="shared" si="0"/>
        <v>OUI</v>
      </c>
      <c r="L17" s="1" t="s">
        <v>16</v>
      </c>
      <c r="M17" s="41" t="s">
        <v>214</v>
      </c>
      <c r="N17" s="86"/>
      <c r="O17" s="16" t="str">
        <f t="shared" si="1"/>
        <v>OUI</v>
      </c>
    </row>
    <row r="18" spans="1:15" ht="14.4" x14ac:dyDescent="0.3">
      <c r="A18" s="1" t="s">
        <v>215</v>
      </c>
      <c r="B18" s="10" t="s">
        <v>128</v>
      </c>
      <c r="C18" s="1" t="s">
        <v>66</v>
      </c>
      <c r="D18" s="1" t="s">
        <v>129</v>
      </c>
      <c r="E18" s="1" t="s">
        <v>38</v>
      </c>
      <c r="F18" s="5">
        <v>44977.738194444442</v>
      </c>
      <c r="G18" s="1">
        <v>548</v>
      </c>
      <c r="H18" s="14" t="s">
        <v>14</v>
      </c>
      <c r="I18" s="51">
        <v>45665.643900462965</v>
      </c>
      <c r="J18" s="1">
        <v>834</v>
      </c>
      <c r="K18" s="18" t="str">
        <f t="shared" si="0"/>
        <v>OUI</v>
      </c>
      <c r="L18" s="1" t="s">
        <v>16</v>
      </c>
      <c r="M18" s="41" t="s">
        <v>216</v>
      </c>
      <c r="N18" s="38">
        <v>45673</v>
      </c>
      <c r="O18" s="16" t="str">
        <f t="shared" si="1"/>
        <v>OUI</v>
      </c>
    </row>
    <row r="19" spans="1:15" ht="14.4" x14ac:dyDescent="0.3">
      <c r="A19" s="1" t="s">
        <v>34</v>
      </c>
      <c r="B19" s="10" t="s">
        <v>83</v>
      </c>
      <c r="C19" s="1" t="s">
        <v>36</v>
      </c>
      <c r="D19" t="s">
        <v>126</v>
      </c>
      <c r="E19" s="1" t="s">
        <v>38</v>
      </c>
      <c r="F19" s="5">
        <v>44978.386805555558</v>
      </c>
      <c r="G19" s="1">
        <v>550</v>
      </c>
      <c r="H19" s="1" t="s">
        <v>14</v>
      </c>
      <c r="I19" s="23">
        <v>45009.363020833334</v>
      </c>
      <c r="J19" s="1">
        <v>837</v>
      </c>
      <c r="K19" s="18" t="str">
        <f t="shared" si="0"/>
        <v>OUI</v>
      </c>
      <c r="L19" s="1" t="s">
        <v>16</v>
      </c>
      <c r="M19" s="41" t="s">
        <v>180</v>
      </c>
      <c r="N19" s="38">
        <v>45006</v>
      </c>
      <c r="O19" s="16" t="str">
        <f t="shared" si="1"/>
        <v>OUI</v>
      </c>
    </row>
    <row r="20" spans="1:15" ht="14.4" x14ac:dyDescent="0.3">
      <c r="A20" s="1" t="s">
        <v>20</v>
      </c>
      <c r="B20" s="10" t="s">
        <v>123</v>
      </c>
      <c r="C20" s="1" t="s">
        <v>26</v>
      </c>
      <c r="D20" s="1" t="s">
        <v>125</v>
      </c>
      <c r="E20" s="1" t="s">
        <v>23</v>
      </c>
      <c r="F20" s="5">
        <v>44978.40347222222</v>
      </c>
      <c r="G20" s="1">
        <v>551</v>
      </c>
      <c r="H20" s="1" t="s">
        <v>14</v>
      </c>
      <c r="I20" s="24"/>
      <c r="J20" s="1">
        <v>838</v>
      </c>
      <c r="K20" s="18" t="str">
        <f t="shared" si="0"/>
        <v/>
      </c>
      <c r="L20" s="1" t="s">
        <v>16</v>
      </c>
      <c r="M20" s="41"/>
      <c r="O20" s="16" t="str">
        <f t="shared" si="1"/>
        <v/>
      </c>
    </row>
    <row r="21" spans="1:15" ht="14.4" x14ac:dyDescent="0.3">
      <c r="A21" s="1" t="s">
        <v>34</v>
      </c>
      <c r="B21" s="10" t="s">
        <v>83</v>
      </c>
      <c r="C21" s="1" t="s">
        <v>66</v>
      </c>
      <c r="D21" t="s">
        <v>122</v>
      </c>
      <c r="E21" s="1" t="s">
        <v>38</v>
      </c>
      <c r="F21" s="5">
        <v>44978.413194444445</v>
      </c>
      <c r="G21" s="1">
        <v>552</v>
      </c>
      <c r="H21" s="1" t="s">
        <v>14</v>
      </c>
      <c r="I21" s="23">
        <v>45009.366585648146</v>
      </c>
      <c r="J21" s="1">
        <v>839</v>
      </c>
      <c r="K21" s="18" t="str">
        <f t="shared" si="0"/>
        <v>OUI</v>
      </c>
      <c r="L21" s="1" t="s">
        <v>16</v>
      </c>
      <c r="M21" s="41" t="s">
        <v>181</v>
      </c>
      <c r="N21" s="38">
        <v>44979</v>
      </c>
      <c r="O21" s="16" t="str">
        <f t="shared" si="1"/>
        <v>OUI</v>
      </c>
    </row>
    <row r="22" spans="1:15" ht="14.4" x14ac:dyDescent="0.3">
      <c r="A22" s="1" t="s">
        <v>20</v>
      </c>
      <c r="B22" s="10" t="s">
        <v>120</v>
      </c>
      <c r="C22" s="1" t="s">
        <v>182</v>
      </c>
      <c r="D22" t="s">
        <v>121</v>
      </c>
      <c r="E22" s="1" t="s">
        <v>23</v>
      </c>
      <c r="F22" s="5">
        <v>44978.418055555558</v>
      </c>
      <c r="G22" s="1">
        <v>553</v>
      </c>
      <c r="H22" s="1" t="s">
        <v>14</v>
      </c>
      <c r="I22" s="23">
        <v>45009.368472222224</v>
      </c>
      <c r="J22" s="1">
        <v>841</v>
      </c>
      <c r="K22" s="18" t="str">
        <f t="shared" si="0"/>
        <v>OUI</v>
      </c>
      <c r="L22" s="1" t="s">
        <v>16</v>
      </c>
      <c r="M22" s="41" t="s">
        <v>183</v>
      </c>
      <c r="N22" s="38">
        <v>44978</v>
      </c>
      <c r="O22" s="16" t="str">
        <f t="shared" si="1"/>
        <v>OUI</v>
      </c>
    </row>
    <row r="23" spans="1:15" ht="14.4" x14ac:dyDescent="0.3">
      <c r="A23" s="1" t="s">
        <v>34</v>
      </c>
      <c r="B23" s="10" t="s">
        <v>217</v>
      </c>
      <c r="C23" s="1" t="s">
        <v>26</v>
      </c>
      <c r="D23" t="s">
        <v>119</v>
      </c>
      <c r="E23" s="1" t="s">
        <v>38</v>
      </c>
      <c r="F23" s="5">
        <v>44978.50277777778</v>
      </c>
      <c r="G23" s="1">
        <v>555</v>
      </c>
      <c r="H23" s="1" t="s">
        <v>14</v>
      </c>
      <c r="I23" s="23">
        <v>45033.557650462964</v>
      </c>
      <c r="J23" s="1">
        <v>843</v>
      </c>
      <c r="K23" s="18" t="str">
        <f t="shared" si="0"/>
        <v>OUI</v>
      </c>
      <c r="L23" s="1" t="s">
        <v>16</v>
      </c>
      <c r="M23" s="41" t="s">
        <v>218</v>
      </c>
      <c r="N23" s="38">
        <v>45020</v>
      </c>
      <c r="O23" s="16" t="str">
        <f t="shared" si="1"/>
        <v>OUI</v>
      </c>
    </row>
    <row r="24" spans="1:15" ht="14.4" x14ac:dyDescent="0.3">
      <c r="A24" s="1" t="s">
        <v>32</v>
      </c>
      <c r="B24" s="10" t="s">
        <v>117</v>
      </c>
      <c r="C24" s="1" t="s">
        <v>185</v>
      </c>
      <c r="D24" s="1" t="s">
        <v>118</v>
      </c>
      <c r="E24" s="1" t="s">
        <v>33</v>
      </c>
      <c r="F24" s="5">
        <v>44978.552083333336</v>
      </c>
      <c r="G24" s="1">
        <v>556</v>
      </c>
      <c r="H24" s="1" t="s">
        <v>14</v>
      </c>
      <c r="I24" s="24"/>
      <c r="J24" s="1">
        <v>844</v>
      </c>
      <c r="K24" s="18" t="str">
        <f t="shared" si="0"/>
        <v/>
      </c>
      <c r="L24" s="1" t="s">
        <v>16</v>
      </c>
      <c r="M24" s="41"/>
      <c r="O24" s="16" t="str">
        <f t="shared" si="1"/>
        <v/>
      </c>
    </row>
    <row r="25" spans="1:15" ht="14.4" x14ac:dyDescent="0.3">
      <c r="A25" s="1" t="s">
        <v>34</v>
      </c>
      <c r="B25" s="10" t="s">
        <v>115</v>
      </c>
      <c r="C25" s="1" t="s">
        <v>93</v>
      </c>
      <c r="D25" s="1" t="s">
        <v>116</v>
      </c>
      <c r="E25" s="1" t="s">
        <v>38</v>
      </c>
      <c r="F25" s="5">
        <v>44978.561111111114</v>
      </c>
      <c r="G25" s="1">
        <v>557</v>
      </c>
      <c r="H25" s="1" t="s">
        <v>14</v>
      </c>
      <c r="I25" s="24"/>
      <c r="J25" s="1">
        <v>845</v>
      </c>
      <c r="K25" s="18" t="str">
        <f t="shared" si="0"/>
        <v/>
      </c>
      <c r="L25" s="1" t="s">
        <v>16</v>
      </c>
      <c r="M25" s="41"/>
      <c r="O25" s="16" t="str">
        <f t="shared" si="1"/>
        <v/>
      </c>
    </row>
    <row r="26" spans="1:15" ht="14.4" x14ac:dyDescent="0.3">
      <c r="A26" s="1" t="s">
        <v>32</v>
      </c>
      <c r="B26" s="10" t="s">
        <v>113</v>
      </c>
      <c r="C26" s="1" t="s">
        <v>185</v>
      </c>
      <c r="D26" s="1" t="s">
        <v>114</v>
      </c>
      <c r="E26" s="1" t="s">
        <v>33</v>
      </c>
      <c r="F26" s="5">
        <v>44978.561111111114</v>
      </c>
      <c r="G26" s="1">
        <v>558</v>
      </c>
      <c r="H26" s="1" t="s">
        <v>14</v>
      </c>
      <c r="I26" s="24"/>
      <c r="J26" s="1">
        <v>846</v>
      </c>
      <c r="K26" s="18" t="str">
        <f t="shared" si="0"/>
        <v/>
      </c>
      <c r="L26" s="1" t="s">
        <v>16</v>
      </c>
      <c r="M26" s="41"/>
      <c r="O26" s="16" t="str">
        <f t="shared" si="1"/>
        <v/>
      </c>
    </row>
    <row r="27" spans="1:15" ht="14.4" x14ac:dyDescent="0.3">
      <c r="A27" s="1" t="s">
        <v>34</v>
      </c>
      <c r="B27" s="10" t="s">
        <v>21</v>
      </c>
      <c r="C27" s="1" t="s">
        <v>66</v>
      </c>
      <c r="D27" t="s">
        <v>112</v>
      </c>
      <c r="E27" s="1" t="s">
        <v>38</v>
      </c>
      <c r="F27" s="5">
        <v>44978.644444444442</v>
      </c>
      <c r="G27" s="1">
        <v>560</v>
      </c>
      <c r="H27" s="1" t="s">
        <v>14</v>
      </c>
      <c r="I27" s="24"/>
      <c r="J27" s="1">
        <v>849</v>
      </c>
      <c r="K27" s="18" t="str">
        <f t="shared" si="0"/>
        <v/>
      </c>
      <c r="L27" s="1" t="s">
        <v>16</v>
      </c>
      <c r="M27" s="41"/>
      <c r="O27" s="16" t="str">
        <f t="shared" si="1"/>
        <v/>
      </c>
    </row>
    <row r="28" spans="1:15" ht="14.4" x14ac:dyDescent="0.3">
      <c r="A28" s="1" t="s">
        <v>99</v>
      </c>
      <c r="B28" s="10" t="s">
        <v>186</v>
      </c>
      <c r="C28" s="1" t="s">
        <v>187</v>
      </c>
      <c r="D28" s="1" t="s">
        <v>111</v>
      </c>
      <c r="E28" s="1" t="s">
        <v>13</v>
      </c>
      <c r="F28" s="5">
        <v>44978.648611111108</v>
      </c>
      <c r="G28" s="1">
        <v>561</v>
      </c>
      <c r="H28" s="1" t="s">
        <v>14</v>
      </c>
      <c r="I28" s="24"/>
      <c r="J28" s="1">
        <v>850</v>
      </c>
      <c r="K28" s="18" t="str">
        <f t="shared" si="0"/>
        <v/>
      </c>
      <c r="L28" s="1" t="s">
        <v>16</v>
      </c>
      <c r="M28" s="41"/>
      <c r="O28" s="16" t="str">
        <f t="shared" si="1"/>
        <v/>
      </c>
    </row>
    <row r="29" spans="1:15" ht="14.4" x14ac:dyDescent="0.3">
      <c r="A29" s="1" t="s">
        <v>34</v>
      </c>
      <c r="B29" s="10" t="s">
        <v>108</v>
      </c>
      <c r="C29" s="1" t="s">
        <v>109</v>
      </c>
      <c r="D29" s="1" t="s">
        <v>110</v>
      </c>
      <c r="E29" s="1" t="s">
        <v>38</v>
      </c>
      <c r="F29" s="5">
        <v>44978.688194444447</v>
      </c>
      <c r="G29" s="1">
        <v>562</v>
      </c>
      <c r="H29" s="1" t="s">
        <v>14</v>
      </c>
      <c r="I29" s="24"/>
      <c r="J29" s="1">
        <v>854</v>
      </c>
      <c r="K29" s="18" t="str">
        <f t="shared" si="0"/>
        <v/>
      </c>
      <c r="L29" s="1" t="s">
        <v>16</v>
      </c>
      <c r="M29" s="41"/>
      <c r="O29" s="16" t="str">
        <f t="shared" si="1"/>
        <v/>
      </c>
    </row>
    <row r="30" spans="1:15" ht="14.4" x14ac:dyDescent="0.3">
      <c r="A30" s="1" t="s">
        <v>34</v>
      </c>
      <c r="B30" s="10" t="s">
        <v>105</v>
      </c>
      <c r="C30" s="1" t="s">
        <v>106</v>
      </c>
      <c r="D30" t="s">
        <v>107</v>
      </c>
      <c r="E30" s="1" t="s">
        <v>38</v>
      </c>
      <c r="F30" s="5">
        <v>44978.70208333333</v>
      </c>
      <c r="G30" s="1">
        <v>563</v>
      </c>
      <c r="H30" s="1" t="s">
        <v>14</v>
      </c>
      <c r="I30" s="24"/>
      <c r="J30" s="1">
        <v>855</v>
      </c>
      <c r="K30" s="18" t="str">
        <f t="shared" si="0"/>
        <v/>
      </c>
      <c r="L30" s="1" t="s">
        <v>16</v>
      </c>
      <c r="M30" s="41"/>
      <c r="O30" s="16" t="str">
        <f t="shared" si="1"/>
        <v/>
      </c>
    </row>
    <row r="31" spans="1:15" ht="14.4" x14ac:dyDescent="0.3">
      <c r="A31" s="1" t="s">
        <v>34</v>
      </c>
      <c r="B31" s="10" t="s">
        <v>103</v>
      </c>
      <c r="C31" s="1" t="s">
        <v>66</v>
      </c>
      <c r="D31" t="s">
        <v>104</v>
      </c>
      <c r="E31" s="1" t="s">
        <v>38</v>
      </c>
      <c r="F31" s="5">
        <v>44978.703472222223</v>
      </c>
      <c r="G31" s="1">
        <v>564</v>
      </c>
      <c r="H31" s="1" t="s">
        <v>14</v>
      </c>
      <c r="I31" s="24"/>
      <c r="J31" s="1">
        <v>856</v>
      </c>
      <c r="K31" s="18" t="str">
        <f t="shared" si="0"/>
        <v/>
      </c>
      <c r="L31" s="1" t="s">
        <v>16</v>
      </c>
      <c r="M31" s="41"/>
      <c r="O31" s="16" t="str">
        <f t="shared" si="1"/>
        <v/>
      </c>
    </row>
    <row r="32" spans="1:15" ht="14.4" x14ac:dyDescent="0.3">
      <c r="A32" s="1" t="s">
        <v>99</v>
      </c>
      <c r="B32" s="10" t="s">
        <v>219</v>
      </c>
      <c r="C32" s="1" t="s">
        <v>47</v>
      </c>
      <c r="D32" t="s">
        <v>100</v>
      </c>
      <c r="E32" s="1" t="s">
        <v>13</v>
      </c>
      <c r="F32" s="5">
        <v>44979.426388888889</v>
      </c>
      <c r="G32" s="1">
        <v>566</v>
      </c>
      <c r="H32" s="1" t="s">
        <v>14</v>
      </c>
      <c r="I32" s="24"/>
      <c r="J32" s="1">
        <v>858</v>
      </c>
      <c r="K32" s="18" t="str">
        <f t="shared" si="0"/>
        <v/>
      </c>
      <c r="L32" s="1" t="s">
        <v>16</v>
      </c>
      <c r="M32" s="41"/>
      <c r="N32" s="38"/>
      <c r="O32" s="16" t="str">
        <f t="shared" si="1"/>
        <v/>
      </c>
    </row>
    <row r="33" spans="1:15" ht="14.4" x14ac:dyDescent="0.3">
      <c r="A33" s="1" t="s">
        <v>20</v>
      </c>
      <c r="B33" s="10" t="s">
        <v>97</v>
      </c>
      <c r="C33" s="1" t="s">
        <v>26</v>
      </c>
      <c r="D33" s="1" t="s">
        <v>98</v>
      </c>
      <c r="E33" s="1" t="s">
        <v>23</v>
      </c>
      <c r="F33" s="5">
        <v>44979.469444444447</v>
      </c>
      <c r="G33" s="1">
        <v>567</v>
      </c>
      <c r="H33" s="1" t="s">
        <v>14</v>
      </c>
      <c r="I33" s="24"/>
      <c r="J33" s="1">
        <v>859</v>
      </c>
      <c r="K33" s="18" t="str">
        <f t="shared" si="0"/>
        <v/>
      </c>
      <c r="L33" s="1" t="s">
        <v>16</v>
      </c>
      <c r="M33" s="41"/>
      <c r="O33" s="16" t="str">
        <f t="shared" si="1"/>
        <v/>
      </c>
    </row>
    <row r="34" spans="1:15" ht="14.4" x14ac:dyDescent="0.3">
      <c r="A34" s="1" t="s">
        <v>20</v>
      </c>
      <c r="B34" s="10" t="s">
        <v>95</v>
      </c>
      <c r="C34" s="1" t="s">
        <v>26</v>
      </c>
      <c r="D34" s="1" t="s">
        <v>96</v>
      </c>
      <c r="E34" s="1" t="s">
        <v>23</v>
      </c>
      <c r="F34" s="5">
        <v>44979.520138888889</v>
      </c>
      <c r="G34" s="1">
        <v>568</v>
      </c>
      <c r="H34" s="1" t="s">
        <v>14</v>
      </c>
      <c r="I34" s="24"/>
      <c r="J34" s="1">
        <v>860</v>
      </c>
      <c r="K34" s="18" t="str">
        <f t="shared" ref="K34:K51" si="2">IF(AND(NOT(ISBLANK(I34)), NOT(ISBLANK(M34))), "OUI", "")</f>
        <v/>
      </c>
      <c r="L34" s="1" t="s">
        <v>16</v>
      </c>
      <c r="M34" s="41"/>
      <c r="O34" s="16" t="str">
        <f t="shared" si="1"/>
        <v/>
      </c>
    </row>
    <row r="35" spans="1:15" ht="14.4" x14ac:dyDescent="0.3">
      <c r="A35" s="1" t="s">
        <v>34</v>
      </c>
      <c r="B35" s="10" t="s">
        <v>92</v>
      </c>
      <c r="C35" s="1" t="s">
        <v>93</v>
      </c>
      <c r="D35" s="1" t="s">
        <v>94</v>
      </c>
      <c r="E35" s="1" t="s">
        <v>38</v>
      </c>
      <c r="F35" s="5">
        <v>44979.525000000001</v>
      </c>
      <c r="G35" s="1">
        <v>569</v>
      </c>
      <c r="H35" s="1" t="s">
        <v>14</v>
      </c>
      <c r="I35" s="24"/>
      <c r="J35" s="1">
        <v>861</v>
      </c>
      <c r="K35" s="18" t="str">
        <f t="shared" si="2"/>
        <v/>
      </c>
      <c r="L35" s="1" t="s">
        <v>16</v>
      </c>
      <c r="M35" s="41"/>
      <c r="O35" s="16" t="str">
        <f t="shared" si="1"/>
        <v/>
      </c>
    </row>
    <row r="36" spans="1:15" ht="14.4" x14ac:dyDescent="0.3">
      <c r="A36" s="1" t="s">
        <v>34</v>
      </c>
      <c r="B36" s="10" t="s">
        <v>90</v>
      </c>
      <c r="C36" s="1" t="s">
        <v>88</v>
      </c>
      <c r="D36" t="s">
        <v>91</v>
      </c>
      <c r="E36" s="1" t="s">
        <v>38</v>
      </c>
      <c r="F36" s="5">
        <v>44979.540972222225</v>
      </c>
      <c r="G36" s="1">
        <v>570</v>
      </c>
      <c r="H36" s="1" t="s">
        <v>14</v>
      </c>
      <c r="I36" s="23">
        <v>45009.369247685187</v>
      </c>
      <c r="J36" s="1">
        <v>862</v>
      </c>
      <c r="K36" s="18" t="str">
        <f t="shared" si="2"/>
        <v>OUI</v>
      </c>
      <c r="L36" s="1" t="s">
        <v>16</v>
      </c>
      <c r="M36" s="41" t="s">
        <v>188</v>
      </c>
      <c r="N36" s="38">
        <v>44979</v>
      </c>
      <c r="O36" s="16" t="str">
        <f t="shared" si="1"/>
        <v>OUI</v>
      </c>
    </row>
    <row r="37" spans="1:15" ht="14.4" x14ac:dyDescent="0.3">
      <c r="A37" s="1" t="s">
        <v>34</v>
      </c>
      <c r="B37" s="10" t="s">
        <v>87</v>
      </c>
      <c r="C37" s="1" t="s">
        <v>88</v>
      </c>
      <c r="D37" t="s">
        <v>89</v>
      </c>
      <c r="E37" s="1" t="s">
        <v>38</v>
      </c>
      <c r="F37" s="5">
        <v>44979.545138888891</v>
      </c>
      <c r="G37" s="1">
        <v>571</v>
      </c>
      <c r="H37" s="1" t="s">
        <v>14</v>
      </c>
      <c r="I37" s="23">
        <v>45009.370891203704</v>
      </c>
      <c r="J37" s="1">
        <v>863</v>
      </c>
      <c r="K37" s="18" t="str">
        <f t="shared" si="2"/>
        <v>OUI</v>
      </c>
      <c r="L37" s="1" t="s">
        <v>16</v>
      </c>
      <c r="M37" s="41" t="s">
        <v>189</v>
      </c>
      <c r="N37" s="38">
        <v>44979</v>
      </c>
      <c r="O37" s="16" t="str">
        <f t="shared" si="1"/>
        <v>OUI</v>
      </c>
    </row>
    <row r="38" spans="1:15" ht="14.4" x14ac:dyDescent="0.3">
      <c r="A38" s="1" t="s">
        <v>20</v>
      </c>
      <c r="B38" s="10" t="s">
        <v>85</v>
      </c>
      <c r="C38" s="1" t="s">
        <v>26</v>
      </c>
      <c r="D38" s="1" t="s">
        <v>86</v>
      </c>
      <c r="E38" s="1" t="s">
        <v>23</v>
      </c>
      <c r="F38" s="5">
        <v>44979.560416666667</v>
      </c>
      <c r="G38" s="1">
        <v>572</v>
      </c>
      <c r="H38" s="1" t="s">
        <v>14</v>
      </c>
      <c r="I38" s="24"/>
      <c r="J38" s="1">
        <v>864</v>
      </c>
      <c r="K38" s="18" t="str">
        <f t="shared" si="2"/>
        <v/>
      </c>
      <c r="L38" s="1" t="s">
        <v>16</v>
      </c>
      <c r="M38" s="41"/>
      <c r="O38" s="16" t="str">
        <f t="shared" si="1"/>
        <v/>
      </c>
    </row>
    <row r="39" spans="1:15" ht="14.4" x14ac:dyDescent="0.3">
      <c r="A39" s="1" t="s">
        <v>34</v>
      </c>
      <c r="B39" s="10" t="s">
        <v>83</v>
      </c>
      <c r="C39" s="1" t="s">
        <v>26</v>
      </c>
      <c r="D39" t="s">
        <v>84</v>
      </c>
      <c r="E39" s="1" t="s">
        <v>38</v>
      </c>
      <c r="F39" s="5">
        <v>44979.567361111112</v>
      </c>
      <c r="G39" s="1">
        <v>573</v>
      </c>
      <c r="H39" s="1" t="s">
        <v>14</v>
      </c>
      <c r="I39" s="23">
        <v>45009.371782407405</v>
      </c>
      <c r="J39" s="1">
        <v>865</v>
      </c>
      <c r="K39" s="18" t="str">
        <f t="shared" si="2"/>
        <v>OUI</v>
      </c>
      <c r="L39" s="1" t="s">
        <v>16</v>
      </c>
      <c r="M39" s="41" t="s">
        <v>190</v>
      </c>
      <c r="N39" s="38">
        <v>44979</v>
      </c>
      <c r="O39" s="16" t="str">
        <f t="shared" si="1"/>
        <v>OUI</v>
      </c>
    </row>
    <row r="40" spans="1:15" ht="14.4" x14ac:dyDescent="0.3">
      <c r="A40" s="1" t="s">
        <v>34</v>
      </c>
      <c r="B40" s="10" t="s">
        <v>81</v>
      </c>
      <c r="C40" s="1" t="s">
        <v>26</v>
      </c>
      <c r="D40" s="1" t="s">
        <v>82</v>
      </c>
      <c r="E40" s="1" t="s">
        <v>38</v>
      </c>
      <c r="F40" s="5">
        <v>44979.567361111112</v>
      </c>
      <c r="G40" s="1">
        <v>573</v>
      </c>
      <c r="H40" s="1" t="s">
        <v>14</v>
      </c>
      <c r="I40" s="24"/>
      <c r="J40" s="1">
        <v>866</v>
      </c>
      <c r="K40" s="18" t="str">
        <f t="shared" si="2"/>
        <v/>
      </c>
      <c r="L40" s="1" t="s">
        <v>16</v>
      </c>
      <c r="M40" s="41"/>
      <c r="O40" s="16" t="str">
        <f t="shared" si="1"/>
        <v/>
      </c>
    </row>
    <row r="41" spans="1:15" ht="14.4" x14ac:dyDescent="0.3">
      <c r="A41" s="1" t="s">
        <v>34</v>
      </c>
      <c r="B41" s="10" t="s">
        <v>79</v>
      </c>
      <c r="C41" s="1" t="s">
        <v>26</v>
      </c>
      <c r="D41" s="1" t="s">
        <v>80</v>
      </c>
      <c r="E41" s="1" t="s">
        <v>38</v>
      </c>
      <c r="F41" s="5">
        <v>44979.579861111109</v>
      </c>
      <c r="G41" s="1">
        <v>574</v>
      </c>
      <c r="H41" s="1" t="s">
        <v>14</v>
      </c>
      <c r="I41" s="24"/>
      <c r="J41" s="1">
        <v>867</v>
      </c>
      <c r="K41" s="18" t="str">
        <f t="shared" si="2"/>
        <v/>
      </c>
      <c r="L41" s="1" t="s">
        <v>16</v>
      </c>
      <c r="M41" s="41"/>
      <c r="O41" s="16" t="str">
        <f t="shared" si="1"/>
        <v/>
      </c>
    </row>
    <row r="42" spans="1:15" ht="14.4" x14ac:dyDescent="0.3">
      <c r="A42" s="1" t="s">
        <v>20</v>
      </c>
      <c r="B42" s="10" t="s">
        <v>77</v>
      </c>
      <c r="C42" s="1" t="s">
        <v>26</v>
      </c>
      <c r="D42" s="1" t="s">
        <v>78</v>
      </c>
      <c r="E42" s="1" t="s">
        <v>23</v>
      </c>
      <c r="F42" s="5">
        <v>44979.584722222222</v>
      </c>
      <c r="G42" s="1">
        <v>575</v>
      </c>
      <c r="H42" s="1" t="s">
        <v>14</v>
      </c>
      <c r="I42" s="24"/>
      <c r="J42" s="1">
        <v>868</v>
      </c>
      <c r="K42" s="18" t="str">
        <f t="shared" si="2"/>
        <v/>
      </c>
      <c r="L42" s="1" t="s">
        <v>16</v>
      </c>
      <c r="M42" s="41"/>
      <c r="O42" s="16" t="str">
        <f t="shared" si="1"/>
        <v/>
      </c>
    </row>
    <row r="43" spans="1:15" ht="14.4" x14ac:dyDescent="0.3">
      <c r="A43" s="1" t="s">
        <v>10</v>
      </c>
      <c r="B43" s="10" t="s">
        <v>191</v>
      </c>
      <c r="C43" s="1" t="s">
        <v>66</v>
      </c>
      <c r="D43" s="1" t="s">
        <v>76</v>
      </c>
      <c r="E43" s="1" t="s">
        <v>13</v>
      </c>
      <c r="F43" s="5">
        <v>44979.604861111111</v>
      </c>
      <c r="G43" s="1">
        <v>576</v>
      </c>
      <c r="H43" s="1" t="s">
        <v>14</v>
      </c>
      <c r="I43" s="24"/>
      <c r="J43" s="1">
        <v>869</v>
      </c>
      <c r="K43" s="18" t="str">
        <f t="shared" si="2"/>
        <v/>
      </c>
      <c r="L43" s="1" t="s">
        <v>16</v>
      </c>
      <c r="M43" s="41"/>
      <c r="O43" s="16" t="str">
        <f t="shared" si="1"/>
        <v/>
      </c>
    </row>
    <row r="44" spans="1:15" ht="14.4" x14ac:dyDescent="0.3">
      <c r="A44" s="1" t="s">
        <v>34</v>
      </c>
      <c r="B44" s="10" t="s">
        <v>74</v>
      </c>
      <c r="C44" s="1" t="s">
        <v>66</v>
      </c>
      <c r="D44" s="1" t="s">
        <v>75</v>
      </c>
      <c r="E44" s="1" t="s">
        <v>38</v>
      </c>
      <c r="F44" s="5">
        <v>44979.622916666667</v>
      </c>
      <c r="G44" s="1">
        <v>577</v>
      </c>
      <c r="H44" s="1" t="s">
        <v>14</v>
      </c>
      <c r="I44" s="24"/>
      <c r="J44" s="1">
        <v>870</v>
      </c>
      <c r="K44" s="18" t="str">
        <f t="shared" si="2"/>
        <v/>
      </c>
      <c r="L44" s="1" t="s">
        <v>16</v>
      </c>
      <c r="M44" s="41"/>
      <c r="O44" s="16" t="str">
        <f t="shared" si="1"/>
        <v/>
      </c>
    </row>
    <row r="45" spans="1:15" ht="14.4" x14ac:dyDescent="0.3">
      <c r="A45" s="1" t="s">
        <v>34</v>
      </c>
      <c r="B45" s="10" t="s">
        <v>72</v>
      </c>
      <c r="C45" s="1" t="s">
        <v>66</v>
      </c>
      <c r="D45" t="s">
        <v>73</v>
      </c>
      <c r="E45" s="1" t="s">
        <v>38</v>
      </c>
      <c r="F45" s="5">
        <v>44979.627083333333</v>
      </c>
      <c r="G45" s="1">
        <v>578</v>
      </c>
      <c r="H45" s="1" t="s">
        <v>14</v>
      </c>
      <c r="I45" s="23">
        <v>45009.373101851852</v>
      </c>
      <c r="J45" s="1">
        <v>871</v>
      </c>
      <c r="K45" s="18" t="str">
        <f t="shared" si="2"/>
        <v>OUI</v>
      </c>
      <c r="L45" s="1" t="s">
        <v>16</v>
      </c>
      <c r="M45" s="41" t="s">
        <v>192</v>
      </c>
      <c r="N45" s="38">
        <v>44979</v>
      </c>
      <c r="O45" s="16" t="str">
        <f t="shared" si="1"/>
        <v>OUI</v>
      </c>
    </row>
    <row r="46" spans="1:15" ht="14.4" x14ac:dyDescent="0.3">
      <c r="A46" s="1" t="s">
        <v>34</v>
      </c>
      <c r="B46" s="10" t="s">
        <v>70</v>
      </c>
      <c r="C46" s="1" t="s">
        <v>26</v>
      </c>
      <c r="D46" s="6" t="s">
        <v>71</v>
      </c>
      <c r="E46" s="1" t="s">
        <v>38</v>
      </c>
      <c r="F46" s="5">
        <v>44979.676388888889</v>
      </c>
      <c r="G46" s="1">
        <v>579</v>
      </c>
      <c r="H46" s="1" t="s">
        <v>14</v>
      </c>
      <c r="I46" s="24"/>
      <c r="J46" s="1">
        <v>872</v>
      </c>
      <c r="K46" s="18" t="str">
        <f t="shared" si="2"/>
        <v/>
      </c>
      <c r="L46" s="1" t="s">
        <v>16</v>
      </c>
      <c r="M46" s="41"/>
      <c r="O46" s="16" t="str">
        <f t="shared" si="1"/>
        <v/>
      </c>
    </row>
    <row r="47" spans="1:15" ht="14.4" x14ac:dyDescent="0.3">
      <c r="A47" s="1" t="s">
        <v>34</v>
      </c>
      <c r="B47" s="10" t="s">
        <v>65</v>
      </c>
      <c r="C47" s="1" t="s">
        <v>66</v>
      </c>
      <c r="D47" t="s">
        <v>67</v>
      </c>
      <c r="E47" s="1" t="s">
        <v>38</v>
      </c>
      <c r="F47" s="5">
        <v>44980.395138888889</v>
      </c>
      <c r="G47" s="1">
        <v>582</v>
      </c>
      <c r="H47" s="1" t="s">
        <v>14</v>
      </c>
      <c r="I47" s="23">
        <v>45009.373935185184</v>
      </c>
      <c r="J47" s="1">
        <v>875</v>
      </c>
      <c r="K47" s="18" t="str">
        <f t="shared" si="2"/>
        <v>OUI</v>
      </c>
      <c r="L47" s="1" t="s">
        <v>16</v>
      </c>
      <c r="M47" s="41" t="s">
        <v>193</v>
      </c>
      <c r="N47" s="38">
        <v>44980</v>
      </c>
      <c r="O47" s="16" t="str">
        <f t="shared" si="1"/>
        <v>OUI</v>
      </c>
    </row>
    <row r="48" spans="1:15" ht="14.4" x14ac:dyDescent="0.3">
      <c r="A48" s="1" t="s">
        <v>34</v>
      </c>
      <c r="B48" s="10" t="s">
        <v>62</v>
      </c>
      <c r="C48" s="1" t="s">
        <v>63</v>
      </c>
      <c r="D48" s="6" t="s">
        <v>64</v>
      </c>
      <c r="E48" s="1" t="s">
        <v>38</v>
      </c>
      <c r="F48" s="5">
        <v>44980.445138888892</v>
      </c>
      <c r="G48" s="1">
        <v>583</v>
      </c>
      <c r="H48" s="1" t="s">
        <v>14</v>
      </c>
      <c r="I48" s="23">
        <v>45009.374884259261</v>
      </c>
      <c r="J48" s="1">
        <v>876</v>
      </c>
      <c r="K48" s="18" t="str">
        <f t="shared" si="2"/>
        <v>OUI</v>
      </c>
      <c r="L48" s="1" t="s">
        <v>16</v>
      </c>
      <c r="M48" s="41" t="s">
        <v>194</v>
      </c>
      <c r="N48" s="38">
        <v>44980</v>
      </c>
      <c r="O48" s="16" t="str">
        <f t="shared" si="1"/>
        <v>OUI</v>
      </c>
    </row>
    <row r="49" spans="1:15" ht="14.4" x14ac:dyDescent="0.3">
      <c r="A49" s="1" t="s">
        <v>34</v>
      </c>
      <c r="B49" s="10" t="s">
        <v>59</v>
      </c>
      <c r="C49" s="1" t="s">
        <v>36</v>
      </c>
      <c r="D49" s="1" t="s">
        <v>60</v>
      </c>
      <c r="E49" s="1" t="s">
        <v>38</v>
      </c>
      <c r="F49" s="5">
        <v>44980.470833333333</v>
      </c>
      <c r="G49" s="1">
        <v>584</v>
      </c>
      <c r="H49" s="1" t="s">
        <v>14</v>
      </c>
      <c r="I49" s="23">
        <v>45611.499479166669</v>
      </c>
      <c r="J49" s="1">
        <v>877</v>
      </c>
      <c r="K49" s="18" t="str">
        <f t="shared" si="2"/>
        <v>OUI</v>
      </c>
      <c r="L49" s="1" t="s">
        <v>16</v>
      </c>
      <c r="M49" s="41" t="s">
        <v>220</v>
      </c>
      <c r="N49" s="38">
        <v>45609</v>
      </c>
      <c r="O49" s="16" t="str">
        <f t="shared" si="1"/>
        <v>OUI</v>
      </c>
    </row>
    <row r="50" spans="1:15" ht="14.4" x14ac:dyDescent="0.3">
      <c r="A50" s="1" t="s">
        <v>209</v>
      </c>
      <c r="B50" s="10" t="s">
        <v>55</v>
      </c>
      <c r="C50" s="1" t="s">
        <v>109</v>
      </c>
      <c r="D50" s="1" t="s">
        <v>56</v>
      </c>
      <c r="E50" s="1" t="s">
        <v>57</v>
      </c>
      <c r="F50" s="5">
        <v>44980.477777777778</v>
      </c>
      <c r="G50" s="1">
        <v>586</v>
      </c>
      <c r="H50" s="1" t="s">
        <v>14</v>
      </c>
      <c r="I50" s="24"/>
      <c r="J50" s="1">
        <v>879</v>
      </c>
      <c r="K50" s="18" t="str">
        <f t="shared" si="2"/>
        <v/>
      </c>
      <c r="L50" s="1" t="s">
        <v>16</v>
      </c>
      <c r="M50" s="41"/>
      <c r="O50" s="16" t="str">
        <f t="shared" si="1"/>
        <v/>
      </c>
    </row>
    <row r="51" spans="1:15" ht="14.4" x14ac:dyDescent="0.3">
      <c r="A51" s="1" t="s">
        <v>34</v>
      </c>
      <c r="B51" s="10" t="s">
        <v>52</v>
      </c>
      <c r="C51" s="1" t="s">
        <v>47</v>
      </c>
      <c r="D51" t="s">
        <v>53</v>
      </c>
      <c r="E51" s="1" t="s">
        <v>38</v>
      </c>
      <c r="F51" s="5">
        <v>44980.48333333333</v>
      </c>
      <c r="G51" s="1">
        <v>587</v>
      </c>
      <c r="H51" s="1" t="s">
        <v>14</v>
      </c>
      <c r="I51" s="23">
        <v>44980.537499999999</v>
      </c>
      <c r="J51" s="1">
        <v>880</v>
      </c>
      <c r="K51" s="18" t="str">
        <f t="shared" si="2"/>
        <v>OUI</v>
      </c>
      <c r="L51" s="1" t="s">
        <v>16</v>
      </c>
      <c r="M51" s="41" t="s">
        <v>54</v>
      </c>
      <c r="N51" s="38">
        <v>44980</v>
      </c>
      <c r="O51" s="16" t="str">
        <f t="shared" si="1"/>
        <v>OUI</v>
      </c>
    </row>
    <row r="52" spans="1:15" ht="14.4" x14ac:dyDescent="0.3">
      <c r="A52" s="1" t="s">
        <v>34</v>
      </c>
      <c r="B52" s="10" t="s">
        <v>49</v>
      </c>
      <c r="C52" s="1" t="s">
        <v>47</v>
      </c>
      <c r="D52" t="s">
        <v>50</v>
      </c>
      <c r="E52" s="1" t="s">
        <v>38</v>
      </c>
      <c r="F52" s="5">
        <v>44980.512499999997</v>
      </c>
      <c r="G52" s="1">
        <v>588</v>
      </c>
      <c r="H52" s="1" t="s">
        <v>14</v>
      </c>
      <c r="I52" s="23">
        <v>44980.543749999997</v>
      </c>
      <c r="J52" s="1">
        <v>881</v>
      </c>
      <c r="K52" s="18" t="s">
        <v>221</v>
      </c>
      <c r="L52" s="1" t="s">
        <v>16</v>
      </c>
      <c r="M52" s="41" t="s">
        <v>51</v>
      </c>
      <c r="N52" s="38">
        <v>44980</v>
      </c>
      <c r="O52" s="16" t="str">
        <f t="shared" si="1"/>
        <v>OUI</v>
      </c>
    </row>
    <row r="53" spans="1:15" ht="14.4" x14ac:dyDescent="0.3">
      <c r="A53" s="1" t="s">
        <v>34</v>
      </c>
      <c r="B53" s="10" t="s">
        <v>46</v>
      </c>
      <c r="C53" s="1" t="s">
        <v>47</v>
      </c>
      <c r="D53" s="1" t="s">
        <v>48</v>
      </c>
      <c r="E53" s="1" t="s">
        <v>38</v>
      </c>
      <c r="F53" s="5">
        <v>44980.535416666666</v>
      </c>
      <c r="G53" s="1">
        <v>589</v>
      </c>
      <c r="H53" s="1" t="s">
        <v>14</v>
      </c>
      <c r="I53" s="24"/>
      <c r="J53" s="1">
        <v>882</v>
      </c>
      <c r="K53" s="18" t="str">
        <f t="shared" ref="K53:K116" si="3">IF(AND(NOT(ISBLANK(I53)), NOT(ISBLANK(M53))), "OUI", "")</f>
        <v/>
      </c>
      <c r="L53" s="1" t="s">
        <v>16</v>
      </c>
      <c r="M53" s="41"/>
      <c r="N53" s="38">
        <v>45972</v>
      </c>
      <c r="O53" s="16" t="str">
        <f t="shared" si="1"/>
        <v>OUI</v>
      </c>
    </row>
    <row r="54" spans="1:15" ht="14.4" x14ac:dyDescent="0.3">
      <c r="A54" s="1" t="s">
        <v>34</v>
      </c>
      <c r="B54" s="10" t="s">
        <v>44</v>
      </c>
      <c r="C54" s="1" t="s">
        <v>26</v>
      </c>
      <c r="D54" s="1" t="s">
        <v>45</v>
      </c>
      <c r="E54" s="1" t="s">
        <v>38</v>
      </c>
      <c r="F54" s="5">
        <v>44980.564583333333</v>
      </c>
      <c r="G54" s="1">
        <v>590</v>
      </c>
      <c r="H54" s="1" t="s">
        <v>14</v>
      </c>
      <c r="I54" s="24"/>
      <c r="J54" s="1">
        <v>884</v>
      </c>
      <c r="K54" s="18" t="str">
        <f t="shared" si="3"/>
        <v/>
      </c>
      <c r="L54" s="1" t="s">
        <v>16</v>
      </c>
      <c r="M54" s="41"/>
      <c r="O54" s="16" t="str">
        <f t="shared" si="1"/>
        <v/>
      </c>
    </row>
    <row r="55" spans="1:15" ht="14.4" x14ac:dyDescent="0.3">
      <c r="A55" s="1" t="s">
        <v>17</v>
      </c>
      <c r="B55" s="10" t="s">
        <v>195</v>
      </c>
      <c r="C55" s="1" t="s">
        <v>26</v>
      </c>
      <c r="D55" s="1" t="s">
        <v>43</v>
      </c>
      <c r="E55" s="1" t="s">
        <v>19</v>
      </c>
      <c r="F55" s="5">
        <v>44980.572916666664</v>
      </c>
      <c r="G55" s="1">
        <v>591</v>
      </c>
      <c r="H55" s="1" t="s">
        <v>14</v>
      </c>
      <c r="I55" s="24"/>
      <c r="J55" s="1">
        <v>885</v>
      </c>
      <c r="K55" s="18" t="str">
        <f t="shared" si="3"/>
        <v/>
      </c>
      <c r="L55" s="1" t="s">
        <v>16</v>
      </c>
      <c r="M55" s="41"/>
      <c r="O55" s="16" t="str">
        <f t="shared" si="1"/>
        <v/>
      </c>
    </row>
    <row r="56" spans="1:15" ht="14.1" customHeight="1" x14ac:dyDescent="0.3">
      <c r="A56" s="1" t="s">
        <v>17</v>
      </c>
      <c r="B56" s="10" t="s">
        <v>195</v>
      </c>
      <c r="C56" s="1" t="s">
        <v>26</v>
      </c>
      <c r="D56" s="1" t="s">
        <v>42</v>
      </c>
      <c r="E56" s="1" t="s">
        <v>19</v>
      </c>
      <c r="F56" s="5">
        <v>44980.583333333336</v>
      </c>
      <c r="G56" s="1">
        <v>592</v>
      </c>
      <c r="H56" s="1" t="s">
        <v>14</v>
      </c>
      <c r="I56" s="24"/>
      <c r="J56" s="1">
        <v>886</v>
      </c>
      <c r="K56" s="18" t="str">
        <f t="shared" si="3"/>
        <v/>
      </c>
      <c r="L56" s="1" t="s">
        <v>16</v>
      </c>
      <c r="M56" s="41"/>
      <c r="O56" s="16" t="str">
        <f t="shared" si="1"/>
        <v/>
      </c>
    </row>
    <row r="57" spans="1:15" ht="14.4" x14ac:dyDescent="0.3">
      <c r="A57" s="1" t="s">
        <v>34</v>
      </c>
      <c r="B57" s="10" t="s">
        <v>39</v>
      </c>
      <c r="C57" s="1" t="s">
        <v>40</v>
      </c>
      <c r="D57" s="1" t="s">
        <v>41</v>
      </c>
      <c r="E57" s="1" t="s">
        <v>38</v>
      </c>
      <c r="F57" s="5">
        <v>44981.468055555553</v>
      </c>
      <c r="G57" s="1">
        <v>593</v>
      </c>
      <c r="H57" s="1" t="s">
        <v>14</v>
      </c>
      <c r="I57" s="24"/>
      <c r="J57" s="1">
        <v>887</v>
      </c>
      <c r="K57" s="18" t="str">
        <f t="shared" si="3"/>
        <v/>
      </c>
      <c r="L57" s="1" t="s">
        <v>16</v>
      </c>
      <c r="M57" s="41"/>
      <c r="O57" s="16" t="str">
        <f t="shared" si="1"/>
        <v/>
      </c>
    </row>
    <row r="58" spans="1:15" ht="14.4" x14ac:dyDescent="0.3">
      <c r="A58" s="1" t="s">
        <v>28</v>
      </c>
      <c r="B58" s="10" t="s">
        <v>29</v>
      </c>
      <c r="C58" s="1" t="s">
        <v>144</v>
      </c>
      <c r="D58" t="s">
        <v>30</v>
      </c>
      <c r="E58" s="1" t="s">
        <v>31</v>
      </c>
      <c r="F58" s="5">
        <v>44988.584027777775</v>
      </c>
      <c r="G58" s="1">
        <v>596</v>
      </c>
      <c r="H58" s="1" t="s">
        <v>14</v>
      </c>
      <c r="I58" s="23">
        <v>45033.554537037038</v>
      </c>
      <c r="J58" s="1">
        <v>890</v>
      </c>
      <c r="K58" s="18" t="str">
        <f t="shared" si="3"/>
        <v>OUI</v>
      </c>
      <c r="L58" s="1" t="s">
        <v>16</v>
      </c>
      <c r="M58" s="41" t="s">
        <v>222</v>
      </c>
      <c r="N58" s="38">
        <v>45019</v>
      </c>
      <c r="O58" s="16" t="str">
        <f t="shared" si="1"/>
        <v>OUI</v>
      </c>
    </row>
    <row r="59" spans="1:15" ht="14.4" x14ac:dyDescent="0.3">
      <c r="A59" s="1" t="s">
        <v>20</v>
      </c>
      <c r="B59" s="10" t="s">
        <v>21</v>
      </c>
      <c r="C59" s="1" t="s">
        <v>66</v>
      </c>
      <c r="D59" s="1" t="s">
        <v>22</v>
      </c>
      <c r="E59" s="1" t="s">
        <v>23</v>
      </c>
      <c r="F59" s="5">
        <v>44994.677777777775</v>
      </c>
      <c r="G59" s="1">
        <v>597</v>
      </c>
      <c r="H59" s="1" t="s">
        <v>24</v>
      </c>
      <c r="I59" s="23">
        <v>44994.677777777775</v>
      </c>
      <c r="J59" s="1">
        <v>892</v>
      </c>
      <c r="K59" s="18" t="str">
        <f t="shared" si="3"/>
        <v>OUI</v>
      </c>
      <c r="L59" s="1" t="s">
        <v>16</v>
      </c>
      <c r="M59" s="41" t="s">
        <v>25</v>
      </c>
      <c r="N59" s="38">
        <v>44994</v>
      </c>
      <c r="O59" s="16" t="str">
        <f t="shared" si="1"/>
        <v>OUI</v>
      </c>
    </row>
    <row r="60" spans="1:15" ht="14.4" x14ac:dyDescent="0.3">
      <c r="A60" s="1" t="s">
        <v>17</v>
      </c>
      <c r="B60" s="10" t="s">
        <v>196</v>
      </c>
      <c r="C60" s="1" t="s">
        <v>144</v>
      </c>
      <c r="D60" t="s">
        <v>18</v>
      </c>
      <c r="E60" s="1" t="s">
        <v>19</v>
      </c>
      <c r="F60" s="5">
        <v>44995.361111111109</v>
      </c>
      <c r="G60" s="1">
        <v>598</v>
      </c>
      <c r="H60" s="1" t="s">
        <v>14</v>
      </c>
      <c r="I60" s="23">
        <v>45125.540833333333</v>
      </c>
      <c r="J60" s="1">
        <v>893</v>
      </c>
      <c r="K60" s="18" t="str">
        <f t="shared" si="3"/>
        <v>OUI</v>
      </c>
      <c r="L60" s="1" t="s">
        <v>16</v>
      </c>
      <c r="M60" s="41" t="s">
        <v>223</v>
      </c>
      <c r="N60" s="38">
        <v>45001</v>
      </c>
      <c r="O60" s="16" t="str">
        <f t="shared" si="1"/>
        <v>OUI</v>
      </c>
    </row>
    <row r="61" spans="1:15" ht="14.4" x14ac:dyDescent="0.3">
      <c r="A61" s="1" t="s">
        <v>10</v>
      </c>
      <c r="B61" s="10" t="s">
        <v>11</v>
      </c>
      <c r="C61" s="1" t="s">
        <v>26</v>
      </c>
      <c r="D61" t="s">
        <v>12</v>
      </c>
      <c r="E61" s="1" t="s">
        <v>13</v>
      </c>
      <c r="F61" s="5">
        <v>45002.412499999999</v>
      </c>
      <c r="G61" s="1">
        <v>600</v>
      </c>
      <c r="H61" s="1" t="s">
        <v>14</v>
      </c>
      <c r="I61" s="23">
        <v>45002.412499999999</v>
      </c>
      <c r="J61" s="1">
        <v>896</v>
      </c>
      <c r="K61" s="18" t="str">
        <f t="shared" si="3"/>
        <v>OUI</v>
      </c>
      <c r="L61" s="1" t="s">
        <v>16</v>
      </c>
      <c r="M61" s="41" t="s">
        <v>15</v>
      </c>
      <c r="N61" s="38">
        <v>45001</v>
      </c>
      <c r="O61" s="16" t="str">
        <f t="shared" si="1"/>
        <v>OUI</v>
      </c>
    </row>
    <row r="62" spans="1:15" ht="14.4" x14ac:dyDescent="0.3">
      <c r="A62" s="1" t="s">
        <v>17</v>
      </c>
      <c r="B62" s="10" t="s">
        <v>197</v>
      </c>
      <c r="C62" s="1" t="s">
        <v>66</v>
      </c>
      <c r="D62" t="s">
        <v>198</v>
      </c>
      <c r="E62" s="1" t="s">
        <v>19</v>
      </c>
      <c r="F62" s="5">
        <v>45005.672222222223</v>
      </c>
      <c r="G62" s="1">
        <v>601</v>
      </c>
      <c r="H62" s="1" t="s">
        <v>14</v>
      </c>
      <c r="I62" s="23">
        <v>45009.375879629632</v>
      </c>
      <c r="J62" s="1">
        <v>898</v>
      </c>
      <c r="K62" s="18" t="str">
        <f t="shared" si="3"/>
        <v>OUI</v>
      </c>
      <c r="L62" s="1" t="s">
        <v>16</v>
      </c>
      <c r="M62" s="41" t="s">
        <v>199</v>
      </c>
      <c r="N62" s="38">
        <v>44979</v>
      </c>
      <c r="O62" s="16" t="str">
        <f t="shared" si="1"/>
        <v>OUI</v>
      </c>
    </row>
    <row r="63" spans="1:15" ht="14.4" x14ac:dyDescent="0.3">
      <c r="A63" s="1" t="s">
        <v>10</v>
      </c>
      <c r="B63" s="10" t="s">
        <v>200</v>
      </c>
      <c r="C63" s="1" t="s">
        <v>36</v>
      </c>
      <c r="D63" t="s">
        <v>201</v>
      </c>
      <c r="E63" s="1" t="s">
        <v>13</v>
      </c>
      <c r="F63" s="5">
        <v>45005.696527777778</v>
      </c>
      <c r="G63" s="1">
        <v>602</v>
      </c>
      <c r="H63" s="1" t="s">
        <v>14</v>
      </c>
      <c r="I63" s="23">
        <v>45033.472048611111</v>
      </c>
      <c r="J63" s="1">
        <v>899</v>
      </c>
      <c r="K63" s="18" t="str">
        <f t="shared" si="3"/>
        <v>OUI</v>
      </c>
      <c r="L63" s="1" t="s">
        <v>16</v>
      </c>
      <c r="M63" s="41" t="s">
        <v>224</v>
      </c>
      <c r="N63" s="39">
        <v>45020</v>
      </c>
      <c r="O63" s="16" t="str">
        <f t="shared" si="1"/>
        <v>OUI</v>
      </c>
    </row>
    <row r="64" spans="1:15" ht="14.4" x14ac:dyDescent="0.3">
      <c r="A64" s="1" t="s">
        <v>17</v>
      </c>
      <c r="B64" s="10" t="s">
        <v>202</v>
      </c>
      <c r="C64" s="1" t="s">
        <v>26</v>
      </c>
      <c r="D64" s="1" t="s">
        <v>203</v>
      </c>
      <c r="E64" s="1" t="s">
        <v>19</v>
      </c>
      <c r="F64" s="5">
        <v>45007.618055555555</v>
      </c>
      <c r="G64" s="1">
        <v>603</v>
      </c>
      <c r="H64" s="1" t="s">
        <v>14</v>
      </c>
      <c r="I64" s="24"/>
      <c r="J64" s="1">
        <v>900</v>
      </c>
      <c r="K64" s="18" t="str">
        <f t="shared" si="3"/>
        <v/>
      </c>
      <c r="L64" s="1" t="s">
        <v>16</v>
      </c>
      <c r="M64" s="41"/>
      <c r="O64" s="16" t="str">
        <f t="shared" si="1"/>
        <v/>
      </c>
    </row>
    <row r="65" spans="1:15" ht="14.4" x14ac:dyDescent="0.3">
      <c r="A65" s="1" t="s">
        <v>150</v>
      </c>
      <c r="B65" s="10" t="s">
        <v>225</v>
      </c>
      <c r="C65" t="s">
        <v>226</v>
      </c>
      <c r="D65" t="s">
        <v>227</v>
      </c>
      <c r="E65" s="1" t="s">
        <v>33</v>
      </c>
      <c r="F65" s="5">
        <v>45014.356944444444</v>
      </c>
      <c r="G65" s="1">
        <v>604</v>
      </c>
      <c r="H65" s="1" t="s">
        <v>14</v>
      </c>
      <c r="I65" s="23">
        <v>45014.356944444444</v>
      </c>
      <c r="J65" s="1">
        <v>901</v>
      </c>
      <c r="K65" s="18" t="str">
        <f t="shared" si="3"/>
        <v>OUI</v>
      </c>
      <c r="L65" s="1" t="s">
        <v>165</v>
      </c>
      <c r="M65" s="41" t="s">
        <v>228</v>
      </c>
      <c r="N65" s="38">
        <v>45005</v>
      </c>
      <c r="O65" s="16" t="str">
        <f t="shared" si="1"/>
        <v>OUI</v>
      </c>
    </row>
    <row r="66" spans="1:15" ht="14.4" x14ac:dyDescent="0.3">
      <c r="A66" s="1" t="s">
        <v>20</v>
      </c>
      <c r="B66" s="10" t="s">
        <v>229</v>
      </c>
      <c r="C66" s="1" t="s">
        <v>109</v>
      </c>
      <c r="D66" t="s">
        <v>230</v>
      </c>
      <c r="E66" s="1" t="s">
        <v>23</v>
      </c>
      <c r="F66" s="5">
        <v>45014.372916666667</v>
      </c>
      <c r="G66" s="1">
        <v>605</v>
      </c>
      <c r="H66" s="1" t="s">
        <v>14</v>
      </c>
      <c r="I66" s="23">
        <v>45014.372916666667</v>
      </c>
      <c r="J66" s="1">
        <v>902</v>
      </c>
      <c r="K66" s="18" t="str">
        <f t="shared" si="3"/>
        <v>OUI</v>
      </c>
      <c r="L66" s="1" t="s">
        <v>165</v>
      </c>
      <c r="M66" s="41" t="s">
        <v>231</v>
      </c>
      <c r="N66" s="38">
        <v>45013</v>
      </c>
      <c r="O66" s="16" t="str">
        <f t="shared" ref="O66:O129" si="4">IF(AND(ISBLANK(I66), ISBLANK(N66)), "", "OUI")</f>
        <v>OUI</v>
      </c>
    </row>
    <row r="67" spans="1:15" ht="15" customHeight="1" x14ac:dyDescent="0.3">
      <c r="A67" s="1" t="s">
        <v>20</v>
      </c>
      <c r="B67" s="10" t="s">
        <v>232</v>
      </c>
      <c r="C67" s="1" t="s">
        <v>109</v>
      </c>
      <c r="D67" t="s">
        <v>233</v>
      </c>
      <c r="E67" s="1" t="s">
        <v>23</v>
      </c>
      <c r="F67" s="5">
        <v>45014.385416666664</v>
      </c>
      <c r="G67" s="1">
        <v>606</v>
      </c>
      <c r="H67" s="1" t="s">
        <v>14</v>
      </c>
      <c r="I67" s="23">
        <v>45014.385416666664</v>
      </c>
      <c r="J67" s="1">
        <v>903</v>
      </c>
      <c r="K67" s="18" t="str">
        <f t="shared" si="3"/>
        <v>OUI</v>
      </c>
      <c r="L67" s="1" t="s">
        <v>165</v>
      </c>
      <c r="M67" s="41" t="s">
        <v>234</v>
      </c>
      <c r="N67" s="38">
        <v>45005</v>
      </c>
      <c r="O67" s="16" t="str">
        <f t="shared" si="4"/>
        <v>OUI</v>
      </c>
    </row>
    <row r="68" spans="1:15" ht="15" customHeight="1" x14ac:dyDescent="0.3">
      <c r="A68" s="1" t="s">
        <v>17</v>
      </c>
      <c r="B68" s="10" t="s">
        <v>235</v>
      </c>
      <c r="C68" s="1" t="s">
        <v>88</v>
      </c>
      <c r="D68" t="s">
        <v>236</v>
      </c>
      <c r="E68" s="1" t="s">
        <v>19</v>
      </c>
      <c r="F68" s="5">
        <v>45015.203472222223</v>
      </c>
      <c r="G68" s="1">
        <v>607</v>
      </c>
      <c r="H68" s="1" t="s">
        <v>14</v>
      </c>
      <c r="I68" s="23">
        <v>45127.433171296296</v>
      </c>
      <c r="J68" s="1">
        <v>904</v>
      </c>
      <c r="K68" s="18" t="str">
        <f t="shared" si="3"/>
        <v>OUI</v>
      </c>
      <c r="L68" s="1" t="s">
        <v>16</v>
      </c>
      <c r="M68" s="41" t="s">
        <v>237</v>
      </c>
      <c r="N68" s="38">
        <v>45086</v>
      </c>
      <c r="O68" s="16" t="str">
        <f t="shared" si="4"/>
        <v>OUI</v>
      </c>
    </row>
    <row r="69" spans="1:15" ht="14.4" x14ac:dyDescent="0.3">
      <c r="A69" s="1" t="s">
        <v>150</v>
      </c>
      <c r="B69" s="10" t="s">
        <v>238</v>
      </c>
      <c r="C69" s="1" t="s">
        <v>144</v>
      </c>
      <c r="D69" t="s">
        <v>239</v>
      </c>
      <c r="E69" s="1" t="s">
        <v>33</v>
      </c>
      <c r="F69" s="5">
        <v>45016.323611111111</v>
      </c>
      <c r="G69" s="1">
        <v>608</v>
      </c>
      <c r="H69" s="1" t="s">
        <v>14</v>
      </c>
      <c r="I69" s="23">
        <v>45159.586793981478</v>
      </c>
      <c r="J69" s="1">
        <v>905</v>
      </c>
      <c r="K69" s="18" t="str">
        <f t="shared" si="3"/>
        <v>OUI</v>
      </c>
      <c r="L69" s="1" t="s">
        <v>16</v>
      </c>
      <c r="M69" s="41" t="s">
        <v>240</v>
      </c>
      <c r="N69" s="38">
        <v>45159</v>
      </c>
      <c r="O69" s="16" t="str">
        <f t="shared" si="4"/>
        <v>OUI</v>
      </c>
    </row>
    <row r="70" spans="1:15" ht="14.4" x14ac:dyDescent="0.3">
      <c r="A70" s="1" t="s">
        <v>34</v>
      </c>
      <c r="B70" s="10" t="s">
        <v>241</v>
      </c>
      <c r="C70" s="1" t="s">
        <v>26</v>
      </c>
      <c r="D70" s="1" t="s">
        <v>242</v>
      </c>
      <c r="E70" s="1" t="s">
        <v>38</v>
      </c>
      <c r="F70" s="5">
        <v>45018.425694444442</v>
      </c>
      <c r="G70" s="1">
        <v>0</v>
      </c>
      <c r="H70" s="1" t="s">
        <v>24</v>
      </c>
      <c r="I70" s="24"/>
      <c r="J70" s="1">
        <v>906</v>
      </c>
      <c r="K70" s="18" t="str">
        <f t="shared" si="3"/>
        <v/>
      </c>
      <c r="L70" s="1" t="s">
        <v>16</v>
      </c>
      <c r="M70" s="41"/>
      <c r="O70" s="16" t="str">
        <f t="shared" si="4"/>
        <v/>
      </c>
    </row>
    <row r="71" spans="1:15" ht="14.4" x14ac:dyDescent="0.3">
      <c r="A71" s="1" t="s">
        <v>20</v>
      </c>
      <c r="B71" s="10" t="s">
        <v>243</v>
      </c>
      <c r="C71" s="1" t="s">
        <v>66</v>
      </c>
      <c r="D71" s="1" t="s">
        <v>244</v>
      </c>
      <c r="E71" s="1" t="s">
        <v>23</v>
      </c>
      <c r="F71" s="5">
        <v>45021.714583333334</v>
      </c>
      <c r="G71" s="1">
        <v>609</v>
      </c>
      <c r="H71" s="1" t="s">
        <v>14</v>
      </c>
      <c r="I71" s="24"/>
      <c r="J71" s="1">
        <v>907</v>
      </c>
      <c r="K71" s="18" t="str">
        <f t="shared" si="3"/>
        <v/>
      </c>
      <c r="L71" s="1" t="s">
        <v>16</v>
      </c>
      <c r="M71" s="41"/>
      <c r="O71" s="16" t="str">
        <f t="shared" si="4"/>
        <v/>
      </c>
    </row>
    <row r="72" spans="1:15" ht="14.4" x14ac:dyDescent="0.3">
      <c r="A72" s="1" t="s">
        <v>34</v>
      </c>
      <c r="B72" s="10" t="s">
        <v>245</v>
      </c>
      <c r="C72" s="1" t="s">
        <v>88</v>
      </c>
      <c r="D72" t="s">
        <v>246</v>
      </c>
      <c r="E72" s="1" t="s">
        <v>38</v>
      </c>
      <c r="F72" s="5">
        <v>45029.859722222223</v>
      </c>
      <c r="G72" s="1">
        <v>610</v>
      </c>
      <c r="H72" s="1" t="s">
        <v>24</v>
      </c>
      <c r="I72" s="23">
        <v>45029.859722222223</v>
      </c>
      <c r="J72" s="1">
        <v>909</v>
      </c>
      <c r="K72" s="18" t="str">
        <f t="shared" si="3"/>
        <v>OUI</v>
      </c>
      <c r="L72" s="1" t="s">
        <v>16</v>
      </c>
      <c r="M72" s="41" t="s">
        <v>247</v>
      </c>
      <c r="N72" s="38">
        <v>45029</v>
      </c>
      <c r="O72" s="16" t="str">
        <f t="shared" si="4"/>
        <v>OUI</v>
      </c>
    </row>
    <row r="73" spans="1:15" ht="14.4" x14ac:dyDescent="0.3">
      <c r="A73" s="25" t="s">
        <v>99</v>
      </c>
      <c r="B73" s="26" t="s">
        <v>248</v>
      </c>
      <c r="C73" s="27" t="s">
        <v>109</v>
      </c>
      <c r="D73" t="s">
        <v>249</v>
      </c>
      <c r="E73" s="27" t="s">
        <v>13</v>
      </c>
      <c r="F73" s="28">
        <v>45031.537499999999</v>
      </c>
      <c r="G73" s="27">
        <v>611</v>
      </c>
      <c r="H73" s="27" t="s">
        <v>14</v>
      </c>
      <c r="I73" s="61">
        <v>45931.569120370368</v>
      </c>
      <c r="J73" s="27">
        <v>910</v>
      </c>
      <c r="K73" s="18" t="str">
        <f t="shared" si="3"/>
        <v>OUI</v>
      </c>
      <c r="L73" s="27" t="s">
        <v>16</v>
      </c>
      <c r="M73" s="42" t="s">
        <v>250</v>
      </c>
      <c r="O73" s="16" t="str">
        <f t="shared" si="4"/>
        <v>OUI</v>
      </c>
    </row>
    <row r="74" spans="1:15" ht="14.4" x14ac:dyDescent="0.3">
      <c r="A74" s="1" t="s">
        <v>34</v>
      </c>
      <c r="B74" s="10" t="s">
        <v>251</v>
      </c>
      <c r="C74" s="1" t="s">
        <v>36</v>
      </c>
      <c r="D74" t="s">
        <v>252</v>
      </c>
      <c r="E74" s="1" t="s">
        <v>38</v>
      </c>
      <c r="F74" s="5">
        <v>45034.631249999999</v>
      </c>
      <c r="G74" s="1">
        <v>612</v>
      </c>
      <c r="H74" s="1" t="s">
        <v>24</v>
      </c>
      <c r="I74" s="23">
        <v>45034.631249999999</v>
      </c>
      <c r="J74" s="1">
        <v>911</v>
      </c>
      <c r="K74" s="18" t="str">
        <f t="shared" si="3"/>
        <v>OUI</v>
      </c>
      <c r="L74" s="1" t="s">
        <v>16</v>
      </c>
      <c r="M74" s="41" t="s">
        <v>253</v>
      </c>
      <c r="N74" s="38">
        <v>45034</v>
      </c>
      <c r="O74" s="16" t="str">
        <f t="shared" si="4"/>
        <v>OUI</v>
      </c>
    </row>
    <row r="75" spans="1:15" ht="14.4" x14ac:dyDescent="0.3">
      <c r="A75" s="29" t="s">
        <v>34</v>
      </c>
      <c r="B75" s="30" t="s">
        <v>35</v>
      </c>
      <c r="C75" s="31" t="s">
        <v>36</v>
      </c>
      <c r="D75" t="s">
        <v>37</v>
      </c>
      <c r="E75" s="31" t="s">
        <v>38</v>
      </c>
      <c r="F75" s="32">
        <v>45036.454861111109</v>
      </c>
      <c r="G75" s="31">
        <v>614</v>
      </c>
      <c r="H75" s="31" t="s">
        <v>24</v>
      </c>
      <c r="I75" s="59">
        <v>45036.454861111109</v>
      </c>
      <c r="J75" s="31">
        <v>913</v>
      </c>
      <c r="K75" s="18" t="str">
        <f t="shared" si="3"/>
        <v>OUI</v>
      </c>
      <c r="L75" s="31" t="s">
        <v>16</v>
      </c>
      <c r="M75" s="43" t="s">
        <v>254</v>
      </c>
      <c r="N75" s="38">
        <v>45036</v>
      </c>
      <c r="O75" s="16" t="str">
        <f t="shared" si="4"/>
        <v>OUI</v>
      </c>
    </row>
    <row r="76" spans="1:15" ht="14.4" x14ac:dyDescent="0.3">
      <c r="A76" s="29" t="s">
        <v>20</v>
      </c>
      <c r="B76" s="30" t="s">
        <v>255</v>
      </c>
      <c r="C76" s="31" t="s">
        <v>26</v>
      </c>
      <c r="D76" t="s">
        <v>256</v>
      </c>
      <c r="E76" s="31" t="s">
        <v>23</v>
      </c>
      <c r="F76" s="32">
        <v>45042.368055555555</v>
      </c>
      <c r="G76" s="31">
        <v>619</v>
      </c>
      <c r="H76" s="31" t="s">
        <v>24</v>
      </c>
      <c r="I76" s="59">
        <v>45042.368055555555</v>
      </c>
      <c r="J76" s="31">
        <v>918</v>
      </c>
      <c r="K76" s="18" t="str">
        <f t="shared" si="3"/>
        <v>OUI</v>
      </c>
      <c r="L76" s="31" t="s">
        <v>16</v>
      </c>
      <c r="M76" s="43" t="s">
        <v>257</v>
      </c>
      <c r="N76" s="38">
        <v>45042</v>
      </c>
      <c r="O76" s="16" t="str">
        <f t="shared" si="4"/>
        <v>OUI</v>
      </c>
    </row>
    <row r="77" spans="1:15" ht="14.4" x14ac:dyDescent="0.3">
      <c r="A77" s="29" t="s">
        <v>34</v>
      </c>
      <c r="B77" s="30" t="s">
        <v>258</v>
      </c>
      <c r="C77" s="31" t="s">
        <v>259</v>
      </c>
      <c r="D77" t="s">
        <v>260</v>
      </c>
      <c r="E77" s="31" t="s">
        <v>38</v>
      </c>
      <c r="F77" s="32">
        <v>45048.381944444445</v>
      </c>
      <c r="G77" s="31">
        <v>620</v>
      </c>
      <c r="H77" s="31" t="s">
        <v>14</v>
      </c>
      <c r="I77" s="59">
        <v>45236.531631944446</v>
      </c>
      <c r="J77" s="31">
        <v>919</v>
      </c>
      <c r="K77" s="18" t="str">
        <f t="shared" si="3"/>
        <v>OUI</v>
      </c>
      <c r="L77" s="31" t="s">
        <v>16</v>
      </c>
      <c r="M77" s="43" t="s">
        <v>261</v>
      </c>
      <c r="N77" s="38">
        <v>45176</v>
      </c>
      <c r="O77" s="16" t="str">
        <f t="shared" si="4"/>
        <v>OUI</v>
      </c>
    </row>
    <row r="78" spans="1:15" ht="14.4" x14ac:dyDescent="0.3">
      <c r="A78" s="25" t="s">
        <v>262</v>
      </c>
      <c r="B78" s="26" t="s">
        <v>263</v>
      </c>
      <c r="C78" s="27" t="s">
        <v>264</v>
      </c>
      <c r="D78" s="2" t="s">
        <v>265</v>
      </c>
      <c r="E78" s="27" t="s">
        <v>266</v>
      </c>
      <c r="F78" s="28">
        <v>45055.432638888888</v>
      </c>
      <c r="G78" s="27">
        <v>621</v>
      </c>
      <c r="H78" s="27" t="s">
        <v>14</v>
      </c>
      <c r="I78" s="61">
        <v>45089.707013888888</v>
      </c>
      <c r="J78" s="27">
        <v>920</v>
      </c>
      <c r="K78" s="18" t="str">
        <f t="shared" si="3"/>
        <v>OUI</v>
      </c>
      <c r="L78" s="27" t="s">
        <v>16</v>
      </c>
      <c r="M78" s="42" t="s">
        <v>267</v>
      </c>
      <c r="N78" s="38">
        <v>45058</v>
      </c>
      <c r="O78" s="16" t="str">
        <f t="shared" si="4"/>
        <v>OUI</v>
      </c>
    </row>
    <row r="79" spans="1:15" ht="14.4" x14ac:dyDescent="0.3">
      <c r="A79" s="29" t="s">
        <v>17</v>
      </c>
      <c r="B79" s="10" t="s">
        <v>268</v>
      </c>
      <c r="C79" s="1" t="s">
        <v>66</v>
      </c>
      <c r="D79" t="s">
        <v>269</v>
      </c>
      <c r="E79" s="31" t="s">
        <v>19</v>
      </c>
      <c r="F79" s="32">
        <v>45055.661111111112</v>
      </c>
      <c r="G79" s="31">
        <v>622</v>
      </c>
      <c r="H79" s="31" t="s">
        <v>14</v>
      </c>
      <c r="I79" s="59">
        <v>45127.434594907405</v>
      </c>
      <c r="J79" s="31">
        <v>921</v>
      </c>
      <c r="K79" s="18" t="str">
        <f t="shared" si="3"/>
        <v>OUI</v>
      </c>
      <c r="L79" s="31" t="s">
        <v>16</v>
      </c>
      <c r="M79" s="43" t="s">
        <v>270</v>
      </c>
      <c r="N79" s="38">
        <v>45083</v>
      </c>
      <c r="O79" s="16" t="str">
        <f t="shared" si="4"/>
        <v>OUI</v>
      </c>
    </row>
    <row r="80" spans="1:15" ht="14.4" x14ac:dyDescent="0.3">
      <c r="A80" s="34" t="s">
        <v>262</v>
      </c>
      <c r="B80" s="10" t="s">
        <v>271</v>
      </c>
      <c r="C80" s="1" t="s">
        <v>109</v>
      </c>
      <c r="D80" t="s">
        <v>272</v>
      </c>
      <c r="E80" s="35" t="s">
        <v>266</v>
      </c>
      <c r="F80" s="36">
        <v>45055.881249999999</v>
      </c>
      <c r="G80" s="35">
        <v>623</v>
      </c>
      <c r="H80" s="35" t="s">
        <v>14</v>
      </c>
      <c r="I80" s="64"/>
      <c r="J80" s="35">
        <v>922</v>
      </c>
      <c r="K80" s="18" t="str">
        <f t="shared" si="3"/>
        <v/>
      </c>
      <c r="L80" s="35" t="s">
        <v>16</v>
      </c>
      <c r="M80" s="44"/>
      <c r="O80" s="16" t="str">
        <f t="shared" si="4"/>
        <v/>
      </c>
    </row>
    <row r="81" spans="1:16" ht="14.4" x14ac:dyDescent="0.3">
      <c r="A81" s="29" t="s">
        <v>34</v>
      </c>
      <c r="B81" s="10" t="s">
        <v>273</v>
      </c>
      <c r="C81" s="31" t="s">
        <v>88</v>
      </c>
      <c r="D81" s="1" t="s">
        <v>274</v>
      </c>
      <c r="E81" s="31" t="s">
        <v>38</v>
      </c>
      <c r="F81" s="32">
        <v>45057.635416666664</v>
      </c>
      <c r="G81" s="31">
        <v>624</v>
      </c>
      <c r="H81" s="31" t="s">
        <v>14</v>
      </c>
      <c r="I81" s="33"/>
      <c r="J81" s="31">
        <v>923</v>
      </c>
      <c r="K81" s="18" t="str">
        <f t="shared" si="3"/>
        <v/>
      </c>
      <c r="L81" s="31" t="s">
        <v>16</v>
      </c>
      <c r="M81" s="43"/>
      <c r="O81" s="16" t="str">
        <f t="shared" si="4"/>
        <v/>
      </c>
    </row>
    <row r="82" spans="1:16" ht="14.4" x14ac:dyDescent="0.3">
      <c r="A82" s="34" t="s">
        <v>17</v>
      </c>
      <c r="B82" s="37" t="s">
        <v>275</v>
      </c>
      <c r="C82" s="35" t="s">
        <v>66</v>
      </c>
      <c r="D82" s="35" t="s">
        <v>276</v>
      </c>
      <c r="E82" s="35" t="s">
        <v>19</v>
      </c>
      <c r="F82" s="36">
        <v>45057.932638888888</v>
      </c>
      <c r="G82" s="35">
        <v>625</v>
      </c>
      <c r="H82" s="35" t="s">
        <v>14</v>
      </c>
      <c r="I82" s="60">
        <v>45096.717245370368</v>
      </c>
      <c r="J82" s="35">
        <v>925</v>
      </c>
      <c r="K82" s="18" t="str">
        <f t="shared" si="3"/>
        <v>OUI</v>
      </c>
      <c r="L82" s="35" t="s">
        <v>16</v>
      </c>
      <c r="M82" s="102" t="s">
        <v>277</v>
      </c>
      <c r="N82" s="38">
        <v>45071</v>
      </c>
      <c r="O82" s="16" t="str">
        <f t="shared" si="4"/>
        <v>OUI</v>
      </c>
    </row>
    <row r="83" spans="1:16" ht="14.4" x14ac:dyDescent="0.3">
      <c r="A83" s="29" t="s">
        <v>34</v>
      </c>
      <c r="B83" s="10" t="s">
        <v>278</v>
      </c>
      <c r="C83" s="31" t="s">
        <v>279</v>
      </c>
      <c r="D83" t="s">
        <v>280</v>
      </c>
      <c r="E83" s="31" t="s">
        <v>38</v>
      </c>
      <c r="F83" s="32">
        <v>45058.783252314817</v>
      </c>
      <c r="G83" s="31">
        <v>626</v>
      </c>
      <c r="H83" s="31" t="s">
        <v>24</v>
      </c>
      <c r="I83" s="59">
        <v>45058.78328703704</v>
      </c>
      <c r="J83" s="31">
        <v>928</v>
      </c>
      <c r="K83" s="18" t="str">
        <f t="shared" si="3"/>
        <v>OUI</v>
      </c>
      <c r="L83" s="31" t="s">
        <v>16</v>
      </c>
      <c r="M83" s="43" t="s">
        <v>281</v>
      </c>
      <c r="N83" s="38">
        <v>45058</v>
      </c>
      <c r="O83" s="16" t="str">
        <f t="shared" si="4"/>
        <v>OUI</v>
      </c>
    </row>
    <row r="84" spans="1:16" ht="14.4" x14ac:dyDescent="0.3">
      <c r="A84" s="29" t="s">
        <v>58</v>
      </c>
      <c r="B84" s="30" t="s">
        <v>282</v>
      </c>
      <c r="C84" s="31" t="s">
        <v>109</v>
      </c>
      <c r="D84" t="s">
        <v>283</v>
      </c>
      <c r="E84" s="31" t="s">
        <v>61</v>
      </c>
      <c r="F84" s="32">
        <v>45076.755555555559</v>
      </c>
      <c r="G84" s="31">
        <v>628</v>
      </c>
      <c r="H84" s="31" t="s">
        <v>14</v>
      </c>
      <c r="I84" s="59">
        <v>45089.487002314818</v>
      </c>
      <c r="J84" s="31">
        <v>934</v>
      </c>
      <c r="K84" s="18" t="str">
        <f t="shared" si="3"/>
        <v>OUI</v>
      </c>
      <c r="L84" s="31" t="s">
        <v>16</v>
      </c>
      <c r="M84" s="43" t="s">
        <v>284</v>
      </c>
      <c r="N84" s="38">
        <v>45058</v>
      </c>
      <c r="O84" s="16" t="str">
        <f t="shared" si="4"/>
        <v>OUI</v>
      </c>
      <c r="P84" t="s">
        <v>285</v>
      </c>
    </row>
    <row r="85" spans="1:16" ht="14.4" x14ac:dyDescent="0.3">
      <c r="A85" s="29" t="s">
        <v>34</v>
      </c>
      <c r="B85" s="30" t="s">
        <v>286</v>
      </c>
      <c r="C85" s="31" t="s">
        <v>287</v>
      </c>
      <c r="D85" t="s">
        <v>288</v>
      </c>
      <c r="E85" s="31" t="s">
        <v>38</v>
      </c>
      <c r="F85" s="32">
        <v>45078.294444444444</v>
      </c>
      <c r="G85" s="31">
        <v>629</v>
      </c>
      <c r="H85" s="31" t="s">
        <v>24</v>
      </c>
      <c r="I85" s="59">
        <v>45078.294444444444</v>
      </c>
      <c r="J85" s="31">
        <v>937</v>
      </c>
      <c r="K85" s="18" t="str">
        <f t="shared" si="3"/>
        <v>OUI</v>
      </c>
      <c r="L85" s="31" t="s">
        <v>16</v>
      </c>
      <c r="M85" s="43" t="s">
        <v>289</v>
      </c>
      <c r="N85" s="38">
        <v>45078</v>
      </c>
      <c r="O85" s="16" t="str">
        <f t="shared" si="4"/>
        <v>OUI</v>
      </c>
    </row>
    <row r="86" spans="1:16" ht="14.4" x14ac:dyDescent="0.3">
      <c r="A86" s="29" t="s">
        <v>10</v>
      </c>
      <c r="B86" s="30" t="s">
        <v>290</v>
      </c>
      <c r="C86" s="31" t="s">
        <v>184</v>
      </c>
      <c r="D86" t="s">
        <v>291</v>
      </c>
      <c r="E86" s="31" t="s">
        <v>13</v>
      </c>
      <c r="F86" s="32">
        <v>45082.716666666667</v>
      </c>
      <c r="G86" s="31">
        <v>631</v>
      </c>
      <c r="H86" s="31" t="s">
        <v>24</v>
      </c>
      <c r="I86" s="59">
        <v>45082.716666666667</v>
      </c>
      <c r="J86" s="31">
        <v>939</v>
      </c>
      <c r="K86" s="18" t="str">
        <f t="shared" si="3"/>
        <v>OUI</v>
      </c>
      <c r="L86" s="31" t="s">
        <v>16</v>
      </c>
      <c r="M86" s="43" t="s">
        <v>292</v>
      </c>
      <c r="N86" s="38">
        <v>45082</v>
      </c>
      <c r="O86" s="16" t="str">
        <f t="shared" si="4"/>
        <v>OUI</v>
      </c>
    </row>
    <row r="87" spans="1:16" ht="14.4" x14ac:dyDescent="0.3">
      <c r="A87" s="46" t="s">
        <v>34</v>
      </c>
      <c r="B87" s="10" t="s">
        <v>293</v>
      </c>
      <c r="C87" s="14" t="s">
        <v>294</v>
      </c>
      <c r="D87" s="14" t="s">
        <v>295</v>
      </c>
      <c r="E87" s="14" t="s">
        <v>38</v>
      </c>
      <c r="F87" s="48">
        <v>45084.511111111111</v>
      </c>
      <c r="G87" s="14">
        <v>632</v>
      </c>
      <c r="H87" s="14" t="s">
        <v>14</v>
      </c>
      <c r="I87" s="51">
        <v>46029.633831018517</v>
      </c>
      <c r="J87" s="14">
        <v>940</v>
      </c>
      <c r="K87" s="18" t="str">
        <f t="shared" si="3"/>
        <v>OUI</v>
      </c>
      <c r="L87" s="14" t="s">
        <v>16</v>
      </c>
      <c r="M87" s="50" t="s">
        <v>296</v>
      </c>
      <c r="O87" s="16" t="str">
        <f t="shared" si="4"/>
        <v>OUI</v>
      </c>
    </row>
    <row r="88" spans="1:16" ht="14.4" x14ac:dyDescent="0.3">
      <c r="A88" s="52" t="s">
        <v>34</v>
      </c>
      <c r="B88" s="53" t="s">
        <v>101</v>
      </c>
      <c r="C88" s="13" t="s">
        <v>88</v>
      </c>
      <c r="D88" s="63" t="s">
        <v>102</v>
      </c>
      <c r="E88" s="13" t="s">
        <v>38</v>
      </c>
      <c r="F88" s="54">
        <v>45084.574305555558</v>
      </c>
      <c r="G88" s="13">
        <v>633</v>
      </c>
      <c r="H88" s="13" t="s">
        <v>24</v>
      </c>
      <c r="I88" s="58">
        <v>45084.574305555558</v>
      </c>
      <c r="J88" s="13">
        <v>941</v>
      </c>
      <c r="K88" s="18" t="str">
        <f t="shared" si="3"/>
        <v>OUI</v>
      </c>
      <c r="L88" s="13" t="s">
        <v>16</v>
      </c>
      <c r="M88" s="56" t="s">
        <v>297</v>
      </c>
      <c r="N88" s="38">
        <v>45084</v>
      </c>
      <c r="O88" s="16" t="str">
        <f t="shared" si="4"/>
        <v>OUI</v>
      </c>
    </row>
    <row r="89" spans="1:16" ht="14.4" x14ac:dyDescent="0.3">
      <c r="A89" s="46" t="s">
        <v>34</v>
      </c>
      <c r="B89" s="47" t="s">
        <v>298</v>
      </c>
      <c r="C89" s="14" t="s">
        <v>36</v>
      </c>
      <c r="D89" s="1" t="s">
        <v>299</v>
      </c>
      <c r="E89" s="14" t="s">
        <v>38</v>
      </c>
      <c r="F89" s="48">
        <v>45085.494444444441</v>
      </c>
      <c r="G89" s="14">
        <v>634</v>
      </c>
      <c r="H89" s="14" t="s">
        <v>14</v>
      </c>
      <c r="I89" s="49"/>
      <c r="J89" s="14">
        <v>942</v>
      </c>
      <c r="K89" s="18" t="str">
        <f t="shared" si="3"/>
        <v/>
      </c>
      <c r="L89" s="14" t="s">
        <v>16</v>
      </c>
      <c r="M89" s="50"/>
      <c r="O89" s="16" t="str">
        <f t="shared" si="4"/>
        <v/>
      </c>
    </row>
    <row r="90" spans="1:16" ht="14.4" x14ac:dyDescent="0.3">
      <c r="A90" s="52" t="s">
        <v>34</v>
      </c>
      <c r="B90" s="53" t="s">
        <v>300</v>
      </c>
      <c r="C90" s="13" t="s">
        <v>301</v>
      </c>
      <c r="D90" s="13" t="s">
        <v>302</v>
      </c>
      <c r="E90" s="13" t="s">
        <v>38</v>
      </c>
      <c r="F90" s="54">
        <v>45085.498611111114</v>
      </c>
      <c r="G90" s="13">
        <v>635</v>
      </c>
      <c r="H90" s="13" t="s">
        <v>14</v>
      </c>
      <c r="I90" s="55"/>
      <c r="J90" s="13">
        <v>943</v>
      </c>
      <c r="K90" s="18" t="str">
        <f t="shared" si="3"/>
        <v/>
      </c>
      <c r="L90" s="13" t="s">
        <v>16</v>
      </c>
      <c r="M90" s="56"/>
      <c r="O90" s="16" t="str">
        <f t="shared" si="4"/>
        <v/>
      </c>
    </row>
    <row r="91" spans="1:16" ht="14.4" x14ac:dyDescent="0.3">
      <c r="A91" s="52" t="s">
        <v>58</v>
      </c>
      <c r="B91" s="53" t="s">
        <v>303</v>
      </c>
      <c r="C91" s="13" t="s">
        <v>304</v>
      </c>
      <c r="D91" t="s">
        <v>305</v>
      </c>
      <c r="E91" s="13" t="s">
        <v>61</v>
      </c>
      <c r="F91" s="54">
        <v>45085.547222222223</v>
      </c>
      <c r="G91" s="13">
        <v>636</v>
      </c>
      <c r="H91" s="13" t="s">
        <v>24</v>
      </c>
      <c r="I91" s="58">
        <v>45085.547222222223</v>
      </c>
      <c r="J91" s="13">
        <v>944</v>
      </c>
      <c r="K91" s="18" t="str">
        <f t="shared" si="3"/>
        <v>OUI</v>
      </c>
      <c r="L91" s="13" t="s">
        <v>16</v>
      </c>
      <c r="M91" s="56" t="s">
        <v>306</v>
      </c>
      <c r="N91" s="38">
        <v>45085</v>
      </c>
      <c r="O91" s="16" t="str">
        <f t="shared" si="4"/>
        <v>OUI</v>
      </c>
    </row>
    <row r="92" spans="1:16" ht="14.4" x14ac:dyDescent="0.3">
      <c r="A92" s="46" t="s">
        <v>99</v>
      </c>
      <c r="B92" s="47" t="s">
        <v>307</v>
      </c>
      <c r="C92" s="14" t="s">
        <v>63</v>
      </c>
      <c r="D92" t="s">
        <v>308</v>
      </c>
      <c r="E92" s="14" t="s">
        <v>13</v>
      </c>
      <c r="F92" s="48">
        <v>45086.362500000003</v>
      </c>
      <c r="G92" s="14">
        <v>637</v>
      </c>
      <c r="H92" s="14" t="s">
        <v>14</v>
      </c>
      <c r="I92" s="51">
        <v>45330.474120370367</v>
      </c>
      <c r="J92" s="14">
        <v>945</v>
      </c>
      <c r="K92" s="18" t="str">
        <f t="shared" si="3"/>
        <v>OUI</v>
      </c>
      <c r="L92" s="14" t="s">
        <v>16</v>
      </c>
      <c r="M92" s="50" t="s">
        <v>309</v>
      </c>
      <c r="N92" s="38">
        <v>45099</v>
      </c>
      <c r="O92" s="16" t="str">
        <f t="shared" si="4"/>
        <v>OUI</v>
      </c>
    </row>
    <row r="93" spans="1:16" ht="14.4" x14ac:dyDescent="0.3">
      <c r="A93" s="46" t="s">
        <v>10</v>
      </c>
      <c r="B93" s="10" t="s">
        <v>310</v>
      </c>
      <c r="C93" s="1" t="s">
        <v>66</v>
      </c>
      <c r="D93" t="s">
        <v>311</v>
      </c>
      <c r="E93" s="14" t="s">
        <v>13</v>
      </c>
      <c r="F93" s="48">
        <v>45086.623611111114</v>
      </c>
      <c r="G93" s="14">
        <v>638</v>
      </c>
      <c r="H93" s="14" t="s">
        <v>14</v>
      </c>
      <c r="I93" s="49"/>
      <c r="J93" s="14">
        <v>946</v>
      </c>
      <c r="K93" s="18" t="str">
        <f t="shared" si="3"/>
        <v/>
      </c>
      <c r="L93" s="14" t="s">
        <v>16</v>
      </c>
      <c r="M93" s="50"/>
      <c r="O93" s="16" t="str">
        <f t="shared" si="4"/>
        <v/>
      </c>
    </row>
    <row r="94" spans="1:16" ht="14.4" x14ac:dyDescent="0.3">
      <c r="A94" s="46" t="s">
        <v>34</v>
      </c>
      <c r="B94" s="47" t="s">
        <v>312</v>
      </c>
      <c r="C94" s="14" t="s">
        <v>106</v>
      </c>
      <c r="D94" t="s">
        <v>313</v>
      </c>
      <c r="E94" s="14" t="s">
        <v>38</v>
      </c>
      <c r="F94" s="48">
        <v>45091.630555555559</v>
      </c>
      <c r="G94" s="14">
        <v>639</v>
      </c>
      <c r="H94" s="14" t="s">
        <v>24</v>
      </c>
      <c r="I94" s="51">
        <v>45091.630555555559</v>
      </c>
      <c r="J94" s="14">
        <v>947</v>
      </c>
      <c r="K94" s="18" t="str">
        <f t="shared" si="3"/>
        <v>OUI</v>
      </c>
      <c r="L94" s="14" t="s">
        <v>16</v>
      </c>
      <c r="M94" s="50" t="s">
        <v>314</v>
      </c>
      <c r="N94" s="38">
        <v>45091</v>
      </c>
      <c r="O94" s="16" t="str">
        <f t="shared" si="4"/>
        <v>OUI</v>
      </c>
    </row>
    <row r="95" spans="1:16" ht="14.4" x14ac:dyDescent="0.3">
      <c r="A95" s="52" t="s">
        <v>34</v>
      </c>
      <c r="B95" s="53" t="s">
        <v>315</v>
      </c>
      <c r="C95" s="13" t="s">
        <v>316</v>
      </c>
      <c r="D95" t="s">
        <v>317</v>
      </c>
      <c r="E95" s="13" t="s">
        <v>38</v>
      </c>
      <c r="F95" s="54">
        <v>45092.618750000001</v>
      </c>
      <c r="G95" s="13">
        <v>640</v>
      </c>
      <c r="H95" s="13" t="s">
        <v>24</v>
      </c>
      <c r="I95" s="58">
        <v>45092.619444444441</v>
      </c>
      <c r="J95" s="13">
        <v>948</v>
      </c>
      <c r="K95" s="18" t="str">
        <f t="shared" si="3"/>
        <v>OUI</v>
      </c>
      <c r="L95" s="13" t="s">
        <v>16</v>
      </c>
      <c r="M95" s="56" t="s">
        <v>318</v>
      </c>
      <c r="N95" s="38">
        <v>45092</v>
      </c>
      <c r="O95" s="16" t="str">
        <f t="shared" si="4"/>
        <v>OUI</v>
      </c>
    </row>
    <row r="96" spans="1:16" ht="14.4" x14ac:dyDescent="0.3">
      <c r="A96" s="52" t="s">
        <v>17</v>
      </c>
      <c r="B96" s="53" t="s">
        <v>319</v>
      </c>
      <c r="C96" s="13" t="s">
        <v>320</v>
      </c>
      <c r="D96" t="s">
        <v>321</v>
      </c>
      <c r="E96" s="13" t="s">
        <v>19</v>
      </c>
      <c r="F96" s="54">
        <v>45092.98333333333</v>
      </c>
      <c r="G96" s="13">
        <v>642</v>
      </c>
      <c r="H96" s="13" t="s">
        <v>14</v>
      </c>
      <c r="I96" s="55"/>
      <c r="J96" s="13">
        <v>951</v>
      </c>
      <c r="K96" s="18" t="str">
        <f t="shared" si="3"/>
        <v/>
      </c>
      <c r="L96" s="13" t="s">
        <v>16</v>
      </c>
      <c r="M96" s="56"/>
      <c r="O96" s="16" t="str">
        <f t="shared" si="4"/>
        <v/>
      </c>
    </row>
    <row r="97" spans="1:15" ht="14.4" x14ac:dyDescent="0.3">
      <c r="A97" s="52" t="s">
        <v>20</v>
      </c>
      <c r="B97" s="53" t="s">
        <v>322</v>
      </c>
      <c r="C97" s="13" t="s">
        <v>26</v>
      </c>
      <c r="D97" t="s">
        <v>323</v>
      </c>
      <c r="E97" s="13" t="s">
        <v>23</v>
      </c>
      <c r="F97" s="54">
        <v>45093.637499999997</v>
      </c>
      <c r="G97" s="13">
        <v>644</v>
      </c>
      <c r="H97" s="13" t="s">
        <v>14</v>
      </c>
      <c r="I97" s="55"/>
      <c r="J97" s="13">
        <v>953</v>
      </c>
      <c r="K97" s="18" t="str">
        <f t="shared" si="3"/>
        <v/>
      </c>
      <c r="L97" s="13" t="s">
        <v>16</v>
      </c>
      <c r="M97" s="56"/>
      <c r="O97" s="16" t="str">
        <f t="shared" si="4"/>
        <v/>
      </c>
    </row>
    <row r="98" spans="1:15" ht="14.4" x14ac:dyDescent="0.3">
      <c r="A98" s="52" t="s">
        <v>34</v>
      </c>
      <c r="B98" s="53" t="s">
        <v>324</v>
      </c>
      <c r="C98" s="13" t="s">
        <v>226</v>
      </c>
      <c r="D98" t="s">
        <v>325</v>
      </c>
      <c r="E98" s="13" t="s">
        <v>38</v>
      </c>
      <c r="F98" s="54">
        <v>45094.515277777777</v>
      </c>
      <c r="G98" s="13">
        <v>645</v>
      </c>
      <c r="H98" s="13" t="s">
        <v>14</v>
      </c>
      <c r="I98" s="55"/>
      <c r="J98" s="13">
        <v>954</v>
      </c>
      <c r="K98" s="18" t="str">
        <f t="shared" si="3"/>
        <v/>
      </c>
      <c r="L98" s="13" t="s">
        <v>16</v>
      </c>
      <c r="M98" s="56"/>
      <c r="O98" s="16" t="str">
        <f t="shared" si="4"/>
        <v/>
      </c>
    </row>
    <row r="99" spans="1:15" ht="14.4" x14ac:dyDescent="0.3">
      <c r="A99" s="46" t="s">
        <v>34</v>
      </c>
      <c r="B99" s="47" t="s">
        <v>326</v>
      </c>
      <c r="C99" s="14" t="s">
        <v>66</v>
      </c>
      <c r="D99" t="s">
        <v>327</v>
      </c>
      <c r="E99" s="14" t="s">
        <v>38</v>
      </c>
      <c r="F99" s="48">
        <v>45096.711111111108</v>
      </c>
      <c r="G99" s="14">
        <v>646</v>
      </c>
      <c r="H99" s="14" t="s">
        <v>24</v>
      </c>
      <c r="I99" s="51">
        <v>45096.711111111108</v>
      </c>
      <c r="J99" s="14">
        <v>955</v>
      </c>
      <c r="K99" s="18" t="str">
        <f t="shared" si="3"/>
        <v>OUI</v>
      </c>
      <c r="L99" s="14" t="s">
        <v>16</v>
      </c>
      <c r="M99" s="50" t="s">
        <v>328</v>
      </c>
      <c r="N99" s="38">
        <v>45096</v>
      </c>
      <c r="O99" s="16" t="str">
        <f t="shared" si="4"/>
        <v>OUI</v>
      </c>
    </row>
    <row r="100" spans="1:15" ht="14.4" x14ac:dyDescent="0.3">
      <c r="A100" s="46" t="s">
        <v>17</v>
      </c>
      <c r="B100" s="47" t="s">
        <v>275</v>
      </c>
      <c r="C100" s="14" t="s">
        <v>66</v>
      </c>
      <c r="D100" s="1" t="s">
        <v>329</v>
      </c>
      <c r="E100" s="14" t="s">
        <v>19</v>
      </c>
      <c r="F100" s="48">
        <v>45096.76458333333</v>
      </c>
      <c r="G100" s="14">
        <v>647</v>
      </c>
      <c r="H100" s="14" t="s">
        <v>14</v>
      </c>
      <c r="I100" s="49"/>
      <c r="J100" s="14">
        <v>956</v>
      </c>
      <c r="K100" s="18" t="str">
        <f t="shared" si="3"/>
        <v/>
      </c>
      <c r="L100" s="14" t="s">
        <v>16</v>
      </c>
      <c r="M100" s="50"/>
      <c r="O100" s="16" t="str">
        <f t="shared" si="4"/>
        <v/>
      </c>
    </row>
    <row r="101" spans="1:15" ht="14.4" x14ac:dyDescent="0.3">
      <c r="A101" s="52" t="s">
        <v>212</v>
      </c>
      <c r="B101" s="10" t="s">
        <v>330</v>
      </c>
      <c r="C101" s="13" t="s">
        <v>294</v>
      </c>
      <c r="D101" s="63" t="s">
        <v>331</v>
      </c>
      <c r="E101" s="13" t="s">
        <v>155</v>
      </c>
      <c r="F101" s="54">
        <v>45096.943055555559</v>
      </c>
      <c r="G101" s="13">
        <v>648</v>
      </c>
      <c r="H101" s="13" t="s">
        <v>24</v>
      </c>
      <c r="I101" s="58">
        <v>45096.943055555559</v>
      </c>
      <c r="J101" s="13">
        <v>957</v>
      </c>
      <c r="K101" s="18" t="str">
        <f t="shared" si="3"/>
        <v>OUI</v>
      </c>
      <c r="L101" s="13" t="s">
        <v>16</v>
      </c>
      <c r="M101" s="56" t="s">
        <v>332</v>
      </c>
      <c r="N101" s="38">
        <v>45096</v>
      </c>
      <c r="O101" s="16" t="str">
        <f t="shared" si="4"/>
        <v>OUI</v>
      </c>
    </row>
    <row r="102" spans="1:15" ht="14.4" x14ac:dyDescent="0.3">
      <c r="A102" s="52" t="s">
        <v>99</v>
      </c>
      <c r="B102" s="10" t="s">
        <v>333</v>
      </c>
      <c r="C102" s="13" t="s">
        <v>294</v>
      </c>
      <c r="D102" t="s">
        <v>334</v>
      </c>
      <c r="E102" s="13" t="s">
        <v>13</v>
      </c>
      <c r="F102" s="54">
        <v>45097.365277777775</v>
      </c>
      <c r="G102" s="13">
        <v>649</v>
      </c>
      <c r="H102" s="13" t="s">
        <v>14</v>
      </c>
      <c r="I102" s="58">
        <v>45125.629143518519</v>
      </c>
      <c r="J102" s="13">
        <v>958</v>
      </c>
      <c r="K102" s="18" t="str">
        <f t="shared" si="3"/>
        <v>OUI</v>
      </c>
      <c r="L102" s="13" t="s">
        <v>16</v>
      </c>
      <c r="M102" s="56" t="s">
        <v>335</v>
      </c>
      <c r="N102" s="38">
        <v>45100</v>
      </c>
      <c r="O102" s="16" t="str">
        <f t="shared" si="4"/>
        <v>OUI</v>
      </c>
    </row>
    <row r="103" spans="1:15" ht="14.4" x14ac:dyDescent="0.3">
      <c r="A103" s="46" t="s">
        <v>20</v>
      </c>
      <c r="B103" s="10" t="s">
        <v>336</v>
      </c>
      <c r="C103" s="1" t="s">
        <v>36</v>
      </c>
      <c r="D103" s="1" t="s">
        <v>337</v>
      </c>
      <c r="E103" s="14" t="s">
        <v>23</v>
      </c>
      <c r="F103" s="48">
        <v>45098.534722222219</v>
      </c>
      <c r="G103" s="14">
        <v>650</v>
      </c>
      <c r="H103" s="14" t="s">
        <v>14</v>
      </c>
      <c r="I103" s="49"/>
      <c r="J103" s="14">
        <v>959</v>
      </c>
      <c r="K103" s="18" t="str">
        <f t="shared" si="3"/>
        <v/>
      </c>
      <c r="L103" s="14" t="s">
        <v>16</v>
      </c>
      <c r="M103" s="50"/>
      <c r="O103" s="16" t="str">
        <f t="shared" si="4"/>
        <v/>
      </c>
    </row>
    <row r="104" spans="1:15" ht="14.4" x14ac:dyDescent="0.3">
      <c r="A104" s="46" t="s">
        <v>34</v>
      </c>
      <c r="B104" s="47" t="s">
        <v>338</v>
      </c>
      <c r="C104" s="1" t="s">
        <v>172</v>
      </c>
      <c r="D104" t="s">
        <v>339</v>
      </c>
      <c r="E104" s="14" t="s">
        <v>38</v>
      </c>
      <c r="F104" s="48">
        <v>45100.604166666664</v>
      </c>
      <c r="G104" s="14">
        <v>652</v>
      </c>
      <c r="H104" s="14" t="s">
        <v>24</v>
      </c>
      <c r="I104" s="51">
        <v>45100.604166666664</v>
      </c>
      <c r="J104" s="14">
        <v>962</v>
      </c>
      <c r="K104" s="18" t="str">
        <f t="shared" si="3"/>
        <v>OUI</v>
      </c>
      <c r="L104" s="14" t="s">
        <v>16</v>
      </c>
      <c r="M104" s="50" t="s">
        <v>340</v>
      </c>
      <c r="N104" s="38">
        <v>45100</v>
      </c>
      <c r="O104" s="16" t="str">
        <f t="shared" si="4"/>
        <v>OUI</v>
      </c>
    </row>
    <row r="105" spans="1:15" ht="14.4" x14ac:dyDescent="0.3">
      <c r="A105" s="46" t="s">
        <v>262</v>
      </c>
      <c r="B105" s="47" t="s">
        <v>341</v>
      </c>
      <c r="C105" s="14" t="s">
        <v>109</v>
      </c>
      <c r="D105" t="s">
        <v>342</v>
      </c>
      <c r="E105" s="14" t="s">
        <v>266</v>
      </c>
      <c r="F105" s="48">
        <v>45103.39166666667</v>
      </c>
      <c r="G105" s="14">
        <v>653</v>
      </c>
      <c r="H105" s="14" t="s">
        <v>14</v>
      </c>
      <c r="I105" s="49"/>
      <c r="J105" s="14">
        <v>963</v>
      </c>
      <c r="K105" s="18" t="str">
        <f t="shared" si="3"/>
        <v/>
      </c>
      <c r="L105" s="14" t="s">
        <v>16</v>
      </c>
      <c r="M105" s="50"/>
      <c r="O105" s="16" t="str">
        <f t="shared" si="4"/>
        <v/>
      </c>
    </row>
    <row r="106" spans="1:15" ht="14.4" x14ac:dyDescent="0.3">
      <c r="A106" s="46" t="s">
        <v>32</v>
      </c>
      <c r="B106" s="10" t="s">
        <v>343</v>
      </c>
      <c r="C106" s="14" t="s">
        <v>184</v>
      </c>
      <c r="D106" t="s">
        <v>344</v>
      </c>
      <c r="E106" s="14" t="s">
        <v>33</v>
      </c>
      <c r="F106" s="48">
        <v>45104.518055555556</v>
      </c>
      <c r="G106" s="14">
        <v>654</v>
      </c>
      <c r="H106" s="14" t="s">
        <v>14</v>
      </c>
      <c r="I106" s="51">
        <v>45125.493784722225</v>
      </c>
      <c r="J106" s="14">
        <v>964</v>
      </c>
      <c r="K106" s="18" t="str">
        <f t="shared" si="3"/>
        <v>OUI</v>
      </c>
      <c r="L106" s="14" t="s">
        <v>16</v>
      </c>
      <c r="M106" s="50" t="s">
        <v>345</v>
      </c>
      <c r="N106" s="38">
        <v>45117</v>
      </c>
      <c r="O106" s="16" t="str">
        <f t="shared" si="4"/>
        <v>OUI</v>
      </c>
    </row>
    <row r="107" spans="1:15" ht="14.4" x14ac:dyDescent="0.3">
      <c r="A107" s="52" t="s">
        <v>99</v>
      </c>
      <c r="B107" s="53" t="s">
        <v>312</v>
      </c>
      <c r="C107" s="1" t="s">
        <v>106</v>
      </c>
      <c r="D107" t="s">
        <v>346</v>
      </c>
      <c r="E107" s="13" t="s">
        <v>13</v>
      </c>
      <c r="F107" s="54">
        <v>45104.525694444441</v>
      </c>
      <c r="G107" s="13">
        <v>655</v>
      </c>
      <c r="H107" s="13" t="s">
        <v>14</v>
      </c>
      <c r="I107" s="58">
        <v>45159.485798611109</v>
      </c>
      <c r="J107" s="13">
        <v>965</v>
      </c>
      <c r="K107" s="18" t="str">
        <f t="shared" si="3"/>
        <v>OUI</v>
      </c>
      <c r="L107" s="13" t="s">
        <v>16</v>
      </c>
      <c r="M107" s="56" t="s">
        <v>347</v>
      </c>
      <c r="N107" s="38">
        <v>45146</v>
      </c>
      <c r="O107" s="16" t="str">
        <f t="shared" si="4"/>
        <v>OUI</v>
      </c>
    </row>
    <row r="108" spans="1:15" ht="14.4" x14ac:dyDescent="0.3">
      <c r="A108" s="46" t="s">
        <v>20</v>
      </c>
      <c r="B108" s="10" t="s">
        <v>348</v>
      </c>
      <c r="C108" s="1" t="s">
        <v>26</v>
      </c>
      <c r="D108" t="s">
        <v>349</v>
      </c>
      <c r="E108" s="14" t="s">
        <v>23</v>
      </c>
      <c r="F108" s="48">
        <v>45107.570833333331</v>
      </c>
      <c r="G108" s="14">
        <v>656</v>
      </c>
      <c r="H108" s="14" t="s">
        <v>14</v>
      </c>
      <c r="I108" s="58">
        <v>45126.673263888886</v>
      </c>
      <c r="J108" s="14">
        <v>966</v>
      </c>
      <c r="K108" s="18" t="str">
        <f t="shared" si="3"/>
        <v>OUI</v>
      </c>
      <c r="L108" s="14" t="s">
        <v>16</v>
      </c>
      <c r="M108" s="50" t="s">
        <v>350</v>
      </c>
      <c r="N108" s="38">
        <v>45126</v>
      </c>
      <c r="O108" s="16" t="str">
        <f t="shared" si="4"/>
        <v>OUI</v>
      </c>
    </row>
    <row r="109" spans="1:15" ht="14.4" x14ac:dyDescent="0.3">
      <c r="A109" s="52" t="s">
        <v>10</v>
      </c>
      <c r="B109" s="53" t="s">
        <v>351</v>
      </c>
      <c r="C109" s="1" t="s">
        <v>172</v>
      </c>
      <c r="D109" t="s">
        <v>352</v>
      </c>
      <c r="E109" s="13" t="s">
        <v>13</v>
      </c>
      <c r="F109" s="54">
        <v>45110.54583333333</v>
      </c>
      <c r="G109" s="13">
        <v>657</v>
      </c>
      <c r="H109" s="13" t="s">
        <v>14</v>
      </c>
      <c r="I109" s="58">
        <v>45125.560833333337</v>
      </c>
      <c r="J109" s="13">
        <v>967</v>
      </c>
      <c r="K109" s="18" t="str">
        <f t="shared" si="3"/>
        <v>OUI</v>
      </c>
      <c r="L109" s="13" t="s">
        <v>16</v>
      </c>
      <c r="M109" s="56" t="s">
        <v>353</v>
      </c>
      <c r="N109" s="38">
        <v>45113</v>
      </c>
      <c r="O109" s="16" t="str">
        <f t="shared" si="4"/>
        <v>OUI</v>
      </c>
    </row>
    <row r="110" spans="1:15" ht="14.4" x14ac:dyDescent="0.3">
      <c r="A110" s="46" t="s">
        <v>34</v>
      </c>
      <c r="B110" s="10" t="s">
        <v>354</v>
      </c>
      <c r="C110" s="1" t="s">
        <v>355</v>
      </c>
      <c r="D110" s="1" t="s">
        <v>356</v>
      </c>
      <c r="E110" s="14" t="s">
        <v>38</v>
      </c>
      <c r="F110" s="48">
        <v>45110.777777777781</v>
      </c>
      <c r="G110" s="14">
        <v>658</v>
      </c>
      <c r="H110" s="14" t="s">
        <v>14</v>
      </c>
      <c r="I110" s="49"/>
      <c r="J110" s="14">
        <v>968</v>
      </c>
      <c r="K110" s="18" t="str">
        <f t="shared" si="3"/>
        <v/>
      </c>
      <c r="L110" s="14" t="s">
        <v>16</v>
      </c>
      <c r="M110" s="50"/>
      <c r="O110" s="16" t="str">
        <f t="shared" si="4"/>
        <v/>
      </c>
    </row>
    <row r="111" spans="1:15" ht="14.4" x14ac:dyDescent="0.3">
      <c r="A111" s="1" t="s">
        <v>28</v>
      </c>
      <c r="B111" s="10" t="s">
        <v>357</v>
      </c>
      <c r="C111" s="1" t="s">
        <v>172</v>
      </c>
      <c r="D111" t="s">
        <v>358</v>
      </c>
      <c r="E111" s="1" t="s">
        <v>31</v>
      </c>
      <c r="F111" s="5">
        <v>45113.270138888889</v>
      </c>
      <c r="G111" s="1">
        <v>659</v>
      </c>
      <c r="H111" s="1" t="s">
        <v>14</v>
      </c>
      <c r="I111" s="23">
        <v>45819.362060185187</v>
      </c>
      <c r="J111" s="1">
        <v>969</v>
      </c>
      <c r="K111" s="18" t="str">
        <f t="shared" si="3"/>
        <v>OUI</v>
      </c>
      <c r="L111" s="1" t="s">
        <v>16</v>
      </c>
      <c r="M111" s="41" t="s">
        <v>359</v>
      </c>
      <c r="N111" s="38">
        <v>45708</v>
      </c>
      <c r="O111" s="16" t="str">
        <f t="shared" si="4"/>
        <v>OUI</v>
      </c>
    </row>
    <row r="112" spans="1:15" ht="14.4" x14ac:dyDescent="0.3">
      <c r="A112" s="1" t="s">
        <v>34</v>
      </c>
      <c r="B112" s="10" t="s">
        <v>360</v>
      </c>
      <c r="C112" s="1" t="s">
        <v>361</v>
      </c>
      <c r="D112" s="1" t="s">
        <v>362</v>
      </c>
      <c r="E112" s="1" t="s">
        <v>38</v>
      </c>
      <c r="F112" s="5">
        <v>45115.627083333333</v>
      </c>
      <c r="G112" s="1">
        <v>660</v>
      </c>
      <c r="H112" s="1" t="s">
        <v>14</v>
      </c>
      <c r="I112" s="24"/>
      <c r="J112" s="1">
        <v>970</v>
      </c>
      <c r="K112" s="18" t="str">
        <f t="shared" si="3"/>
        <v/>
      </c>
      <c r="L112" s="1" t="s">
        <v>16</v>
      </c>
      <c r="M112" s="41"/>
      <c r="O112" s="16" t="str">
        <f t="shared" si="4"/>
        <v/>
      </c>
    </row>
    <row r="113" spans="1:19" ht="14.4" x14ac:dyDescent="0.3">
      <c r="A113" s="52" t="s">
        <v>17</v>
      </c>
      <c r="B113" s="53" t="s">
        <v>363</v>
      </c>
      <c r="C113" s="13" t="s">
        <v>226</v>
      </c>
      <c r="D113" s="13" t="s">
        <v>364</v>
      </c>
      <c r="E113" s="13" t="s">
        <v>19</v>
      </c>
      <c r="F113" s="54">
        <v>45117.510416666664</v>
      </c>
      <c r="G113" s="13">
        <v>661</v>
      </c>
      <c r="H113" s="13" t="s">
        <v>14</v>
      </c>
      <c r="I113" s="55"/>
      <c r="J113" s="13">
        <v>971</v>
      </c>
      <c r="K113" s="18" t="str">
        <f t="shared" si="3"/>
        <v/>
      </c>
      <c r="L113" s="13" t="s">
        <v>16</v>
      </c>
      <c r="M113" s="56"/>
      <c r="O113" s="16" t="str">
        <f t="shared" si="4"/>
        <v/>
      </c>
    </row>
    <row r="114" spans="1:19" ht="14.4" x14ac:dyDescent="0.3">
      <c r="A114" s="46" t="s">
        <v>34</v>
      </c>
      <c r="B114" s="10" t="s">
        <v>365</v>
      </c>
      <c r="C114" s="1" t="s">
        <v>47</v>
      </c>
      <c r="D114" s="1" t="s">
        <v>366</v>
      </c>
      <c r="E114" s="14" t="s">
        <v>38</v>
      </c>
      <c r="F114" s="48">
        <v>45118.256249999999</v>
      </c>
      <c r="G114" s="14">
        <v>0</v>
      </c>
      <c r="H114" s="14" t="s">
        <v>24</v>
      </c>
      <c r="I114" s="49"/>
      <c r="J114" s="14">
        <v>972</v>
      </c>
      <c r="K114" s="18" t="str">
        <f t="shared" si="3"/>
        <v/>
      </c>
      <c r="L114" s="14" t="s">
        <v>16</v>
      </c>
      <c r="M114" s="50"/>
      <c r="O114" s="16" t="str">
        <f t="shared" si="4"/>
        <v/>
      </c>
      <c r="S114" s="57"/>
    </row>
    <row r="115" spans="1:19" ht="14.4" x14ac:dyDescent="0.3">
      <c r="A115" s="52" t="s">
        <v>58</v>
      </c>
      <c r="B115" s="53" t="s">
        <v>367</v>
      </c>
      <c r="C115" s="13" t="s">
        <v>226</v>
      </c>
      <c r="D115" t="s">
        <v>368</v>
      </c>
      <c r="E115" s="13" t="s">
        <v>61</v>
      </c>
      <c r="F115" s="54">
        <v>45120.59652777778</v>
      </c>
      <c r="G115" s="13">
        <v>662</v>
      </c>
      <c r="H115" s="13" t="s">
        <v>24</v>
      </c>
      <c r="I115" s="58">
        <v>45120.597222222219</v>
      </c>
      <c r="J115" s="13">
        <v>973</v>
      </c>
      <c r="K115" s="18" t="str">
        <f t="shared" si="3"/>
        <v>OUI</v>
      </c>
      <c r="L115" s="13" t="s">
        <v>16</v>
      </c>
      <c r="M115" s="56" t="s">
        <v>369</v>
      </c>
      <c r="N115" s="38">
        <v>45120</v>
      </c>
      <c r="O115" s="16" t="str">
        <f t="shared" si="4"/>
        <v>OUI</v>
      </c>
    </row>
    <row r="116" spans="1:19" ht="14.4" x14ac:dyDescent="0.3">
      <c r="A116" s="46" t="s">
        <v>20</v>
      </c>
      <c r="B116" s="47" t="s">
        <v>370</v>
      </c>
      <c r="C116" s="14" t="s">
        <v>172</v>
      </c>
      <c r="D116" s="1" t="s">
        <v>371</v>
      </c>
      <c r="E116" s="14" t="s">
        <v>23</v>
      </c>
      <c r="F116" s="48">
        <v>45122.609722222223</v>
      </c>
      <c r="G116" s="14">
        <v>663</v>
      </c>
      <c r="H116" s="14" t="s">
        <v>14</v>
      </c>
      <c r="I116" s="49"/>
      <c r="J116" s="14">
        <v>975</v>
      </c>
      <c r="K116" s="18" t="str">
        <f t="shared" si="3"/>
        <v/>
      </c>
      <c r="L116" s="14" t="s">
        <v>16</v>
      </c>
      <c r="M116" s="50"/>
      <c r="O116" s="16" t="str">
        <f t="shared" si="4"/>
        <v/>
      </c>
    </row>
    <row r="117" spans="1:19" ht="14.4" x14ac:dyDescent="0.3">
      <c r="A117" s="52" t="s">
        <v>34</v>
      </c>
      <c r="B117" s="53" t="s">
        <v>372</v>
      </c>
      <c r="C117" s="13" t="s">
        <v>172</v>
      </c>
      <c r="D117" s="63" t="s">
        <v>373</v>
      </c>
      <c r="E117" s="13" t="s">
        <v>38</v>
      </c>
      <c r="F117" s="54">
        <v>45125.40902777778</v>
      </c>
      <c r="G117" s="13">
        <v>664</v>
      </c>
      <c r="H117" s="14" t="s">
        <v>24</v>
      </c>
      <c r="I117" s="51">
        <v>45125.40902777778</v>
      </c>
      <c r="J117" s="13">
        <v>976</v>
      </c>
      <c r="K117" s="18" t="str">
        <f t="shared" ref="K117:K180" si="5">IF(AND(NOT(ISBLANK(I117)), NOT(ISBLANK(M117))), "OUI", "")</f>
        <v>OUI</v>
      </c>
      <c r="L117" s="13" t="s">
        <v>16</v>
      </c>
      <c r="M117" s="56" t="s">
        <v>374</v>
      </c>
      <c r="N117" s="38">
        <v>45125</v>
      </c>
      <c r="O117" s="16" t="str">
        <f t="shared" si="4"/>
        <v>OUI</v>
      </c>
    </row>
    <row r="118" spans="1:19" ht="14.4" x14ac:dyDescent="0.3">
      <c r="A118" s="46" t="s">
        <v>34</v>
      </c>
      <c r="B118" s="47" t="s">
        <v>375</v>
      </c>
      <c r="C118" s="14" t="s">
        <v>376</v>
      </c>
      <c r="D118" t="s">
        <v>377</v>
      </c>
      <c r="E118" s="14" t="s">
        <v>38</v>
      </c>
      <c r="F118" s="48">
        <v>45125.666666666664</v>
      </c>
      <c r="G118" s="14">
        <v>665</v>
      </c>
      <c r="H118" s="14" t="s">
        <v>24</v>
      </c>
      <c r="I118" s="51">
        <v>45125.666666666664</v>
      </c>
      <c r="J118" s="14">
        <v>977</v>
      </c>
      <c r="K118" s="18" t="str">
        <f t="shared" si="5"/>
        <v>OUI</v>
      </c>
      <c r="L118" s="14" t="s">
        <v>16</v>
      </c>
      <c r="M118" s="50" t="s">
        <v>378</v>
      </c>
      <c r="N118" s="38">
        <v>45125</v>
      </c>
      <c r="O118" s="16" t="str">
        <f t="shared" si="4"/>
        <v>OUI</v>
      </c>
    </row>
    <row r="119" spans="1:19" ht="14.4" x14ac:dyDescent="0.3">
      <c r="A119" s="46" t="s">
        <v>28</v>
      </c>
      <c r="B119" s="47" t="s">
        <v>379</v>
      </c>
      <c r="C119" s="14" t="s">
        <v>144</v>
      </c>
      <c r="D119" t="s">
        <v>380</v>
      </c>
      <c r="E119" s="14" t="s">
        <v>31</v>
      </c>
      <c r="F119" s="48">
        <v>45126.27847222222</v>
      </c>
      <c r="G119" s="14">
        <v>666</v>
      </c>
      <c r="H119" s="14" t="s">
        <v>14</v>
      </c>
      <c r="I119" s="51">
        <v>45126.396562499998</v>
      </c>
      <c r="J119" s="14">
        <v>978</v>
      </c>
      <c r="K119" s="18" t="str">
        <f t="shared" si="5"/>
        <v>OUI</v>
      </c>
      <c r="L119" s="14" t="s">
        <v>16</v>
      </c>
      <c r="M119" s="50" t="s">
        <v>381</v>
      </c>
      <c r="N119" s="38">
        <v>45252</v>
      </c>
      <c r="O119" s="16" t="str">
        <f t="shared" si="4"/>
        <v>OUI</v>
      </c>
    </row>
    <row r="120" spans="1:19" ht="14.4" x14ac:dyDescent="0.3">
      <c r="A120" s="46" t="s">
        <v>34</v>
      </c>
      <c r="B120" s="47" t="s">
        <v>382</v>
      </c>
      <c r="C120" s="14" t="s">
        <v>47</v>
      </c>
      <c r="D120" t="s">
        <v>383</v>
      </c>
      <c r="E120" s="14" t="s">
        <v>38</v>
      </c>
      <c r="F120" s="48">
        <v>45126.686111111114</v>
      </c>
      <c r="G120" s="14">
        <v>667</v>
      </c>
      <c r="H120" s="14" t="s">
        <v>24</v>
      </c>
      <c r="I120" s="51">
        <v>45126.686111111114</v>
      </c>
      <c r="J120" s="14">
        <v>979</v>
      </c>
      <c r="K120" s="18" t="str">
        <f t="shared" si="5"/>
        <v>OUI</v>
      </c>
      <c r="L120" s="14" t="s">
        <v>16</v>
      </c>
      <c r="M120" s="50" t="s">
        <v>384</v>
      </c>
      <c r="N120" s="38">
        <v>45126</v>
      </c>
      <c r="O120" s="16" t="str">
        <f t="shared" si="4"/>
        <v>OUI</v>
      </c>
    </row>
    <row r="121" spans="1:19" ht="14.4" x14ac:dyDescent="0.3">
      <c r="A121" s="46" t="s">
        <v>34</v>
      </c>
      <c r="B121" s="47" t="s">
        <v>385</v>
      </c>
      <c r="C121" s="1" t="s">
        <v>47</v>
      </c>
      <c r="D121" t="s">
        <v>386</v>
      </c>
      <c r="E121" s="14" t="s">
        <v>38</v>
      </c>
      <c r="F121" s="48">
        <v>45126.803472222222</v>
      </c>
      <c r="G121" s="14">
        <v>668</v>
      </c>
      <c r="H121" s="14" t="s">
        <v>24</v>
      </c>
      <c r="I121" s="51">
        <v>45126.803472222222</v>
      </c>
      <c r="J121" s="14">
        <v>980</v>
      </c>
      <c r="K121" s="18" t="str">
        <f t="shared" si="5"/>
        <v>OUI</v>
      </c>
      <c r="L121" s="14" t="s">
        <v>16</v>
      </c>
      <c r="M121" s="50" t="s">
        <v>387</v>
      </c>
      <c r="N121" s="38">
        <v>45126</v>
      </c>
      <c r="O121" s="16" t="str">
        <f t="shared" si="4"/>
        <v>OUI</v>
      </c>
    </row>
    <row r="122" spans="1:19" ht="14.4" x14ac:dyDescent="0.3">
      <c r="A122" s="46" t="s">
        <v>34</v>
      </c>
      <c r="B122" s="47" t="s">
        <v>388</v>
      </c>
      <c r="C122" s="14" t="s">
        <v>226</v>
      </c>
      <c r="D122" t="s">
        <v>389</v>
      </c>
      <c r="E122" s="14" t="s">
        <v>38</v>
      </c>
      <c r="F122" s="48">
        <v>45127.563194444447</v>
      </c>
      <c r="G122" s="14">
        <v>669</v>
      </c>
      <c r="H122" s="14" t="s">
        <v>24</v>
      </c>
      <c r="I122" s="51">
        <v>45127.563194444447</v>
      </c>
      <c r="J122" s="14">
        <v>981</v>
      </c>
      <c r="K122" s="18" t="str">
        <f t="shared" si="5"/>
        <v>OUI</v>
      </c>
      <c r="L122" s="14" t="s">
        <v>16</v>
      </c>
      <c r="M122" s="50" t="s">
        <v>390</v>
      </c>
      <c r="N122" s="38">
        <v>45127</v>
      </c>
      <c r="O122" s="16" t="str">
        <f t="shared" si="4"/>
        <v>OUI</v>
      </c>
    </row>
    <row r="123" spans="1:19" ht="14.4" x14ac:dyDescent="0.3">
      <c r="A123" s="46" t="s">
        <v>17</v>
      </c>
      <c r="B123" s="47" t="s">
        <v>391</v>
      </c>
      <c r="C123" s="14" t="s">
        <v>66</v>
      </c>
      <c r="D123" s="1" t="s">
        <v>392</v>
      </c>
      <c r="E123" s="14" t="s">
        <v>19</v>
      </c>
      <c r="F123" s="48">
        <v>45129.325694444444</v>
      </c>
      <c r="G123" s="14">
        <v>670</v>
      </c>
      <c r="H123" s="14" t="s">
        <v>14</v>
      </c>
      <c r="I123" s="49"/>
      <c r="J123" s="14">
        <v>982</v>
      </c>
      <c r="K123" s="18" t="str">
        <f t="shared" si="5"/>
        <v/>
      </c>
      <c r="L123" s="14" t="s">
        <v>16</v>
      </c>
      <c r="M123" s="50"/>
      <c r="O123" s="16" t="str">
        <f t="shared" si="4"/>
        <v/>
      </c>
    </row>
    <row r="124" spans="1:19" ht="14.4" x14ac:dyDescent="0.3">
      <c r="A124" s="46" t="s">
        <v>209</v>
      </c>
      <c r="B124" s="47" t="s">
        <v>393</v>
      </c>
      <c r="C124" s="14" t="s">
        <v>394</v>
      </c>
      <c r="D124" t="s">
        <v>395</v>
      </c>
      <c r="E124" s="14" t="s">
        <v>57</v>
      </c>
      <c r="F124" s="48">
        <v>45145.518750000003</v>
      </c>
      <c r="G124" s="14">
        <v>671</v>
      </c>
      <c r="H124" s="14" t="s">
        <v>14</v>
      </c>
      <c r="I124" s="51">
        <v>45224.447476851848</v>
      </c>
      <c r="J124" s="14">
        <v>983</v>
      </c>
      <c r="K124" s="18" t="str">
        <f t="shared" si="5"/>
        <v>OUI</v>
      </c>
      <c r="L124" s="14" t="s">
        <v>16</v>
      </c>
      <c r="M124" s="50" t="s">
        <v>396</v>
      </c>
      <c r="N124" s="38">
        <v>45223</v>
      </c>
      <c r="O124" s="16" t="str">
        <f t="shared" si="4"/>
        <v>OUI</v>
      </c>
    </row>
    <row r="125" spans="1:19" ht="14.4" x14ac:dyDescent="0.3">
      <c r="A125" s="46" t="s">
        <v>34</v>
      </c>
      <c r="B125" s="10" t="s">
        <v>397</v>
      </c>
      <c r="C125" s="1" t="s">
        <v>398</v>
      </c>
      <c r="D125" s="14" t="s">
        <v>399</v>
      </c>
      <c r="E125" s="14" t="s">
        <v>38</v>
      </c>
      <c r="F125" s="48">
        <v>45152.636111111111</v>
      </c>
      <c r="G125" s="14">
        <v>672</v>
      </c>
      <c r="H125" s="14" t="s">
        <v>14</v>
      </c>
      <c r="I125" s="49"/>
      <c r="J125" s="14">
        <v>984</v>
      </c>
      <c r="K125" s="18" t="str">
        <f t="shared" si="5"/>
        <v/>
      </c>
      <c r="L125" s="14" t="s">
        <v>16</v>
      </c>
      <c r="M125" s="50"/>
      <c r="O125" s="16" t="str">
        <f t="shared" si="4"/>
        <v/>
      </c>
    </row>
    <row r="126" spans="1:19" ht="14.4" x14ac:dyDescent="0.3">
      <c r="A126" s="52" t="s">
        <v>10</v>
      </c>
      <c r="B126" s="53" t="s">
        <v>400</v>
      </c>
      <c r="C126" s="13" t="s">
        <v>401</v>
      </c>
      <c r="D126" s="13" t="s">
        <v>402</v>
      </c>
      <c r="E126" s="13" t="s">
        <v>13</v>
      </c>
      <c r="F126" s="54">
        <v>45153.885416666664</v>
      </c>
      <c r="G126" s="13">
        <v>673</v>
      </c>
      <c r="H126" s="13" t="s">
        <v>14</v>
      </c>
      <c r="I126" s="55"/>
      <c r="J126" s="13">
        <v>985</v>
      </c>
      <c r="K126" s="18" t="str">
        <f t="shared" si="5"/>
        <v/>
      </c>
      <c r="L126" s="13" t="s">
        <v>16</v>
      </c>
      <c r="M126" s="56"/>
      <c r="O126" s="16" t="str">
        <f t="shared" si="4"/>
        <v/>
      </c>
    </row>
    <row r="127" spans="1:19" ht="14.4" x14ac:dyDescent="0.3">
      <c r="A127" s="46" t="s">
        <v>34</v>
      </c>
      <c r="B127" s="47" t="s">
        <v>403</v>
      </c>
      <c r="C127" s="14" t="s">
        <v>404</v>
      </c>
      <c r="D127" s="14" t="s">
        <v>405</v>
      </c>
      <c r="E127" s="14" t="s">
        <v>38</v>
      </c>
      <c r="F127" s="48">
        <v>45153.893055555556</v>
      </c>
      <c r="G127" s="14">
        <v>674</v>
      </c>
      <c r="H127" s="14" t="s">
        <v>14</v>
      </c>
      <c r="I127" s="49"/>
      <c r="J127" s="14">
        <v>986</v>
      </c>
      <c r="K127" s="18" t="str">
        <f t="shared" si="5"/>
        <v/>
      </c>
      <c r="L127" s="14" t="s">
        <v>16</v>
      </c>
      <c r="M127" s="50"/>
      <c r="O127" s="16" t="str">
        <f t="shared" si="4"/>
        <v/>
      </c>
    </row>
    <row r="128" spans="1:19" ht="14.4" x14ac:dyDescent="0.3">
      <c r="A128" s="52" t="s">
        <v>34</v>
      </c>
      <c r="B128" s="10" t="s">
        <v>406</v>
      </c>
      <c r="C128" s="1" t="s">
        <v>63</v>
      </c>
      <c r="D128" s="13" t="s">
        <v>407</v>
      </c>
      <c r="E128" s="13" t="s">
        <v>38</v>
      </c>
      <c r="F128" s="54">
        <v>45161.649305555555</v>
      </c>
      <c r="G128" s="13">
        <v>675</v>
      </c>
      <c r="H128" s="13" t="s">
        <v>14</v>
      </c>
      <c r="I128" s="55"/>
      <c r="J128" s="13">
        <v>987</v>
      </c>
      <c r="K128" s="18" t="str">
        <f t="shared" si="5"/>
        <v/>
      </c>
      <c r="L128" s="13" t="s">
        <v>16</v>
      </c>
      <c r="M128" s="56"/>
      <c r="O128" s="16" t="str">
        <f t="shared" si="4"/>
        <v/>
      </c>
    </row>
    <row r="129" spans="1:15" ht="14.4" x14ac:dyDescent="0.3">
      <c r="A129" s="46" t="s">
        <v>34</v>
      </c>
      <c r="B129" s="47" t="s">
        <v>408</v>
      </c>
      <c r="C129" s="14" t="s">
        <v>279</v>
      </c>
      <c r="D129" s="62" t="s">
        <v>409</v>
      </c>
      <c r="E129" s="14" t="s">
        <v>38</v>
      </c>
      <c r="F129" s="48">
        <v>45168.782847222225</v>
      </c>
      <c r="G129" s="14">
        <v>676</v>
      </c>
      <c r="H129" s="14" t="s">
        <v>24</v>
      </c>
      <c r="I129" s="51">
        <v>45168.782905092594</v>
      </c>
      <c r="J129" s="14">
        <v>989</v>
      </c>
      <c r="K129" s="18" t="str">
        <f t="shared" si="5"/>
        <v>OUI</v>
      </c>
      <c r="L129" s="14" t="s">
        <v>16</v>
      </c>
      <c r="M129" s="50" t="s">
        <v>410</v>
      </c>
      <c r="N129" s="38">
        <v>45168</v>
      </c>
      <c r="O129" s="16" t="str">
        <f t="shared" si="4"/>
        <v>OUI</v>
      </c>
    </row>
    <row r="130" spans="1:15" ht="14.4" x14ac:dyDescent="0.3">
      <c r="A130" s="46" t="s">
        <v>20</v>
      </c>
      <c r="B130" s="47" t="s">
        <v>68</v>
      </c>
      <c r="C130" s="14" t="s">
        <v>66</v>
      </c>
      <c r="D130" t="s">
        <v>69</v>
      </c>
      <c r="E130" s="14" t="s">
        <v>23</v>
      </c>
      <c r="F130" s="48">
        <v>45169.438194444447</v>
      </c>
      <c r="G130" s="14">
        <v>678</v>
      </c>
      <c r="H130" s="14" t="s">
        <v>24</v>
      </c>
      <c r="I130" s="51">
        <v>45169.438194444447</v>
      </c>
      <c r="J130" s="14">
        <v>995</v>
      </c>
      <c r="K130" s="18" t="str">
        <f t="shared" si="5"/>
        <v>OUI</v>
      </c>
      <c r="L130" s="14" t="s">
        <v>16</v>
      </c>
      <c r="M130" s="50" t="s">
        <v>411</v>
      </c>
      <c r="N130" s="38">
        <v>45169</v>
      </c>
      <c r="O130" s="16" t="str">
        <f t="shared" ref="O130:O193" si="6">IF(AND(ISBLANK(I130), ISBLANK(N130)), "", "OUI")</f>
        <v>OUI</v>
      </c>
    </row>
    <row r="131" spans="1:15" ht="14.4" x14ac:dyDescent="0.3">
      <c r="A131" s="46" t="s">
        <v>34</v>
      </c>
      <c r="B131" s="47" t="s">
        <v>412</v>
      </c>
      <c r="C131" s="14" t="s">
        <v>93</v>
      </c>
      <c r="D131" t="s">
        <v>413</v>
      </c>
      <c r="E131" s="14" t="s">
        <v>38</v>
      </c>
      <c r="F131" s="48">
        <v>45170.481944444444</v>
      </c>
      <c r="G131" s="14">
        <v>681</v>
      </c>
      <c r="H131" s="14" t="s">
        <v>24</v>
      </c>
      <c r="I131" s="51">
        <v>45170.481944444444</v>
      </c>
      <c r="J131" s="14">
        <v>998</v>
      </c>
      <c r="K131" s="18" t="str">
        <f t="shared" si="5"/>
        <v>OUI</v>
      </c>
      <c r="L131" s="14" t="s">
        <v>16</v>
      </c>
      <c r="M131" s="103" t="s">
        <v>414</v>
      </c>
      <c r="N131" s="38">
        <v>45170</v>
      </c>
      <c r="O131" s="16" t="str">
        <f t="shared" si="6"/>
        <v>OUI</v>
      </c>
    </row>
    <row r="132" spans="1:15" ht="14.4" x14ac:dyDescent="0.3">
      <c r="A132" s="46" t="s">
        <v>34</v>
      </c>
      <c r="B132" s="47" t="s">
        <v>415</v>
      </c>
      <c r="C132" s="14" t="s">
        <v>172</v>
      </c>
      <c r="D132" s="1" t="s">
        <v>416</v>
      </c>
      <c r="E132" s="14" t="s">
        <v>38</v>
      </c>
      <c r="F132" s="48">
        <v>45171.318749999999</v>
      </c>
      <c r="G132" s="14">
        <v>682</v>
      </c>
      <c r="H132" s="14" t="s">
        <v>14</v>
      </c>
      <c r="I132" s="51">
        <v>45236.530995370369</v>
      </c>
      <c r="J132" s="14">
        <v>999</v>
      </c>
      <c r="K132" s="18" t="str">
        <f t="shared" si="5"/>
        <v>OUI</v>
      </c>
      <c r="L132" s="14" t="s">
        <v>16</v>
      </c>
      <c r="M132" s="50" t="s">
        <v>417</v>
      </c>
      <c r="N132" s="38">
        <v>45215</v>
      </c>
      <c r="O132" s="16" t="str">
        <f t="shared" si="6"/>
        <v>OUI</v>
      </c>
    </row>
    <row r="133" spans="1:15" ht="14.4" x14ac:dyDescent="0.3">
      <c r="A133" s="65" t="s">
        <v>17</v>
      </c>
      <c r="B133" s="47" t="s">
        <v>418</v>
      </c>
      <c r="C133" s="14" t="s">
        <v>63</v>
      </c>
      <c r="D133" t="s">
        <v>419</v>
      </c>
      <c r="E133" s="14" t="s">
        <v>19</v>
      </c>
      <c r="F133" s="48">
        <v>45171.90902777778</v>
      </c>
      <c r="G133" s="14">
        <v>683</v>
      </c>
      <c r="H133" s="14" t="s">
        <v>14</v>
      </c>
      <c r="I133" s="51">
        <v>45209.435729166667</v>
      </c>
      <c r="J133" s="14">
        <v>1000</v>
      </c>
      <c r="K133" s="18" t="str">
        <f t="shared" si="5"/>
        <v>OUI</v>
      </c>
      <c r="L133" s="14" t="s">
        <v>16</v>
      </c>
      <c r="M133" s="50" t="s">
        <v>420</v>
      </c>
      <c r="N133" s="38">
        <v>45209</v>
      </c>
      <c r="O133" s="16" t="str">
        <f t="shared" si="6"/>
        <v>OUI</v>
      </c>
    </row>
    <row r="134" spans="1:15" ht="14.4" x14ac:dyDescent="0.3">
      <c r="A134" s="46" t="s">
        <v>34</v>
      </c>
      <c r="B134" s="10" t="s">
        <v>421</v>
      </c>
      <c r="C134" s="14" t="s">
        <v>26</v>
      </c>
      <c r="D134" s="62" t="s">
        <v>422</v>
      </c>
      <c r="E134" s="14" t="s">
        <v>38</v>
      </c>
      <c r="F134" s="48">
        <v>45171.979861111111</v>
      </c>
      <c r="G134" s="14">
        <v>684</v>
      </c>
      <c r="H134" s="14" t="s">
        <v>14</v>
      </c>
      <c r="I134" s="51">
        <v>45201.404895833337</v>
      </c>
      <c r="J134" s="14">
        <v>1001</v>
      </c>
      <c r="K134" s="18" t="str">
        <f t="shared" si="5"/>
        <v>OUI</v>
      </c>
      <c r="L134" s="14" t="s">
        <v>16</v>
      </c>
      <c r="M134" s="50" t="s">
        <v>423</v>
      </c>
      <c r="N134" s="38">
        <v>45202</v>
      </c>
      <c r="O134" s="16" t="str">
        <f t="shared" si="6"/>
        <v>OUI</v>
      </c>
    </row>
    <row r="135" spans="1:15" ht="14.4" x14ac:dyDescent="0.3">
      <c r="A135" s="52" t="s">
        <v>34</v>
      </c>
      <c r="B135" s="53" t="s">
        <v>424</v>
      </c>
      <c r="C135" s="13" t="s">
        <v>63</v>
      </c>
      <c r="D135" s="13" t="s">
        <v>425</v>
      </c>
      <c r="E135" s="13" t="s">
        <v>38</v>
      </c>
      <c r="F135" s="54">
        <v>45172.309027777781</v>
      </c>
      <c r="G135" s="13">
        <v>685</v>
      </c>
      <c r="H135" s="13" t="s">
        <v>14</v>
      </c>
      <c r="I135" s="55"/>
      <c r="J135" s="13">
        <v>1002</v>
      </c>
      <c r="K135" s="18" t="str">
        <f t="shared" si="5"/>
        <v/>
      </c>
      <c r="L135" s="13" t="s">
        <v>16</v>
      </c>
      <c r="M135" s="56"/>
      <c r="O135" s="16" t="str">
        <f t="shared" si="6"/>
        <v/>
      </c>
    </row>
    <row r="136" spans="1:15" ht="14.4" x14ac:dyDescent="0.3">
      <c r="A136" s="46" t="s">
        <v>17</v>
      </c>
      <c r="B136" s="47" t="s">
        <v>426</v>
      </c>
      <c r="C136" s="14" t="s">
        <v>427</v>
      </c>
      <c r="D136" s="1" t="s">
        <v>428</v>
      </c>
      <c r="E136" s="14" t="s">
        <v>19</v>
      </c>
      <c r="F136" s="48">
        <v>45174.15625</v>
      </c>
      <c r="G136" s="14">
        <v>686</v>
      </c>
      <c r="H136" s="14" t="s">
        <v>14</v>
      </c>
      <c r="I136" s="51">
        <v>45371.346377314818</v>
      </c>
      <c r="J136" s="14">
        <v>1003</v>
      </c>
      <c r="K136" s="18" t="str">
        <f t="shared" si="5"/>
        <v>OUI</v>
      </c>
      <c r="L136" s="14" t="s">
        <v>16</v>
      </c>
      <c r="M136" s="50" t="s">
        <v>429</v>
      </c>
      <c r="N136" s="38">
        <v>45371</v>
      </c>
      <c r="O136" s="16" t="str">
        <f t="shared" si="6"/>
        <v>OUI</v>
      </c>
    </row>
    <row r="137" spans="1:15" ht="14.4" x14ac:dyDescent="0.3">
      <c r="A137" s="52" t="s">
        <v>34</v>
      </c>
      <c r="B137" s="10" t="s">
        <v>430</v>
      </c>
      <c r="C137" s="1" t="s">
        <v>226</v>
      </c>
      <c r="D137" s="63" t="s">
        <v>431</v>
      </c>
      <c r="E137" s="13" t="s">
        <v>38</v>
      </c>
      <c r="F137" s="54">
        <v>45174.583333333336</v>
      </c>
      <c r="G137" s="13">
        <v>687</v>
      </c>
      <c r="H137" s="13" t="s">
        <v>24</v>
      </c>
      <c r="I137" s="58">
        <v>45174.583333333336</v>
      </c>
      <c r="J137" s="13">
        <v>1004</v>
      </c>
      <c r="K137" s="18" t="str">
        <f t="shared" si="5"/>
        <v>OUI</v>
      </c>
      <c r="L137" s="13" t="s">
        <v>16</v>
      </c>
      <c r="M137" s="56" t="s">
        <v>432</v>
      </c>
      <c r="N137" s="38">
        <v>45174</v>
      </c>
      <c r="O137" s="16" t="str">
        <f t="shared" si="6"/>
        <v>OUI</v>
      </c>
    </row>
    <row r="138" spans="1:15" ht="14.4" x14ac:dyDescent="0.3">
      <c r="A138" s="46" t="s">
        <v>20</v>
      </c>
      <c r="B138" s="47" t="s">
        <v>433</v>
      </c>
      <c r="C138" s="14" t="s">
        <v>66</v>
      </c>
      <c r="D138" t="s">
        <v>434</v>
      </c>
      <c r="E138" s="14" t="s">
        <v>23</v>
      </c>
      <c r="F138" s="48">
        <v>45175.404861111114</v>
      </c>
      <c r="G138" s="14">
        <v>688</v>
      </c>
      <c r="H138" s="14" t="s">
        <v>24</v>
      </c>
      <c r="I138" s="51">
        <v>45175.404861111114</v>
      </c>
      <c r="J138" s="14">
        <v>1005</v>
      </c>
      <c r="K138" s="18" t="str">
        <f t="shared" si="5"/>
        <v>OUI</v>
      </c>
      <c r="L138" s="14" t="s">
        <v>16</v>
      </c>
      <c r="M138" s="50" t="s">
        <v>435</v>
      </c>
      <c r="N138" s="38">
        <v>45175</v>
      </c>
      <c r="O138" s="16" t="str">
        <f t="shared" si="6"/>
        <v>OUI</v>
      </c>
    </row>
    <row r="139" spans="1:15" ht="14.4" x14ac:dyDescent="0.3">
      <c r="A139" s="46" t="s">
        <v>34</v>
      </c>
      <c r="B139" s="47" t="s">
        <v>81</v>
      </c>
      <c r="C139" s="1" t="s">
        <v>26</v>
      </c>
      <c r="D139" s="1" t="s">
        <v>436</v>
      </c>
      <c r="E139" s="14" t="s">
        <v>38</v>
      </c>
      <c r="F139" s="48">
        <v>45177.381249999999</v>
      </c>
      <c r="G139" s="14">
        <v>689</v>
      </c>
      <c r="H139" s="14" t="s">
        <v>14</v>
      </c>
      <c r="I139" s="49"/>
      <c r="J139" s="14">
        <v>1006</v>
      </c>
      <c r="K139" s="18" t="str">
        <f t="shared" si="5"/>
        <v/>
      </c>
      <c r="L139" s="14" t="s">
        <v>16</v>
      </c>
      <c r="M139" s="50"/>
      <c r="O139" s="16" t="str">
        <f t="shared" si="6"/>
        <v/>
      </c>
    </row>
    <row r="140" spans="1:15" ht="14.4" x14ac:dyDescent="0.3">
      <c r="A140" s="46" t="s">
        <v>20</v>
      </c>
      <c r="B140" s="47" t="s">
        <v>437</v>
      </c>
      <c r="C140" s="14" t="s">
        <v>172</v>
      </c>
      <c r="D140" s="62" t="s">
        <v>438</v>
      </c>
      <c r="E140" s="14" t="s">
        <v>23</v>
      </c>
      <c r="F140" s="48">
        <v>45183.594444444447</v>
      </c>
      <c r="G140" s="14">
        <v>690</v>
      </c>
      <c r="H140" s="14" t="s">
        <v>24</v>
      </c>
      <c r="I140" s="51">
        <v>45183.594444444447</v>
      </c>
      <c r="J140" s="14">
        <v>1007</v>
      </c>
      <c r="K140" s="18" t="str">
        <f t="shared" si="5"/>
        <v>OUI</v>
      </c>
      <c r="L140" s="14" t="s">
        <v>16</v>
      </c>
      <c r="M140" s="50" t="s">
        <v>439</v>
      </c>
      <c r="N140" s="38">
        <v>45183</v>
      </c>
      <c r="O140" s="16" t="str">
        <f t="shared" si="6"/>
        <v>OUI</v>
      </c>
    </row>
    <row r="141" spans="1:15" ht="14.4" x14ac:dyDescent="0.3">
      <c r="A141" s="46" t="s">
        <v>34</v>
      </c>
      <c r="B141" s="47" t="s">
        <v>440</v>
      </c>
      <c r="C141" s="14" t="s">
        <v>88</v>
      </c>
      <c r="D141" s="1" t="s">
        <v>441</v>
      </c>
      <c r="E141" s="14" t="s">
        <v>38</v>
      </c>
      <c r="F141" s="48">
        <v>45193.902083333334</v>
      </c>
      <c r="G141" s="14">
        <v>691</v>
      </c>
      <c r="H141" s="14" t="s">
        <v>14</v>
      </c>
      <c r="I141" s="49"/>
      <c r="J141" s="14">
        <v>1008</v>
      </c>
      <c r="K141" s="18" t="str">
        <f t="shared" si="5"/>
        <v/>
      </c>
      <c r="L141" s="14" t="s">
        <v>16</v>
      </c>
      <c r="M141" s="50"/>
      <c r="O141" s="16" t="str">
        <f t="shared" si="6"/>
        <v/>
      </c>
    </row>
    <row r="142" spans="1:15" ht="14.4" x14ac:dyDescent="0.3">
      <c r="A142" s="46" t="s">
        <v>17</v>
      </c>
      <c r="B142" s="47" t="s">
        <v>442</v>
      </c>
      <c r="C142" s="14" t="s">
        <v>443</v>
      </c>
      <c r="D142" s="1" t="s">
        <v>444</v>
      </c>
      <c r="E142" s="14" t="s">
        <v>19</v>
      </c>
      <c r="F142" s="48">
        <v>45197.38958333333</v>
      </c>
      <c r="G142" s="14">
        <v>692</v>
      </c>
      <c r="H142" s="14" t="s">
        <v>14</v>
      </c>
      <c r="I142" s="51">
        <v>45303.374409722222</v>
      </c>
      <c r="J142" s="14">
        <v>1009</v>
      </c>
      <c r="K142" s="18" t="str">
        <f t="shared" si="5"/>
        <v>OUI</v>
      </c>
      <c r="L142" s="14" t="s">
        <v>16</v>
      </c>
      <c r="M142" s="50" t="s">
        <v>445</v>
      </c>
      <c r="N142" s="38">
        <v>45302</v>
      </c>
      <c r="O142" s="16" t="str">
        <f t="shared" si="6"/>
        <v>OUI</v>
      </c>
    </row>
    <row r="143" spans="1:15" ht="14.4" x14ac:dyDescent="0.3">
      <c r="A143" s="46" t="s">
        <v>34</v>
      </c>
      <c r="B143" s="10" t="s">
        <v>446</v>
      </c>
      <c r="C143" s="14" t="s">
        <v>185</v>
      </c>
      <c r="D143" t="s">
        <v>447</v>
      </c>
      <c r="E143" s="14" t="s">
        <v>38</v>
      </c>
      <c r="F143" s="48">
        <v>45201.04583333333</v>
      </c>
      <c r="G143" s="14">
        <v>693</v>
      </c>
      <c r="H143" s="14" t="s">
        <v>24</v>
      </c>
      <c r="I143" s="51">
        <v>45201.04583333333</v>
      </c>
      <c r="J143" s="14">
        <v>1010</v>
      </c>
      <c r="K143" s="18" t="str">
        <f t="shared" si="5"/>
        <v>OUI</v>
      </c>
      <c r="L143" s="14" t="s">
        <v>16</v>
      </c>
      <c r="M143" s="50" t="s">
        <v>448</v>
      </c>
      <c r="N143" s="38">
        <v>45201</v>
      </c>
      <c r="O143" s="16" t="str">
        <f t="shared" si="6"/>
        <v>OUI</v>
      </c>
    </row>
    <row r="144" spans="1:15" ht="14.4" x14ac:dyDescent="0.3">
      <c r="A144" s="52" t="s">
        <v>58</v>
      </c>
      <c r="B144" s="53" t="s">
        <v>367</v>
      </c>
      <c r="C144" s="13" t="s">
        <v>226</v>
      </c>
      <c r="D144" t="s">
        <v>368</v>
      </c>
      <c r="E144" s="13" t="s">
        <v>61</v>
      </c>
      <c r="F144" s="54">
        <v>45203.670138888891</v>
      </c>
      <c r="G144" s="13">
        <v>694</v>
      </c>
      <c r="H144" s="13" t="s">
        <v>24</v>
      </c>
      <c r="I144" s="58">
        <v>45203.670138888891</v>
      </c>
      <c r="J144" s="13">
        <v>1011</v>
      </c>
      <c r="K144" s="18" t="str">
        <f t="shared" si="5"/>
        <v>OUI</v>
      </c>
      <c r="L144" s="13" t="s">
        <v>165</v>
      </c>
      <c r="M144" s="56" t="s">
        <v>369</v>
      </c>
      <c r="N144" s="38">
        <v>45203</v>
      </c>
      <c r="O144" s="16" t="str">
        <f t="shared" si="6"/>
        <v>OUI</v>
      </c>
    </row>
    <row r="145" spans="1:16" ht="14.4" x14ac:dyDescent="0.3">
      <c r="A145" s="46" t="s">
        <v>34</v>
      </c>
      <c r="B145" s="47" t="s">
        <v>449</v>
      </c>
      <c r="C145" s="14" t="s">
        <v>36</v>
      </c>
      <c r="D145" s="62" t="s">
        <v>450</v>
      </c>
      <c r="E145" s="14" t="s">
        <v>38</v>
      </c>
      <c r="F145" s="48">
        <v>45204.334722222222</v>
      </c>
      <c r="G145" s="14">
        <v>695</v>
      </c>
      <c r="H145" s="14" t="s">
        <v>24</v>
      </c>
      <c r="I145" s="51">
        <v>45204.334722222222</v>
      </c>
      <c r="J145" s="14">
        <v>1012</v>
      </c>
      <c r="K145" s="18" t="str">
        <f t="shared" si="5"/>
        <v>OUI</v>
      </c>
      <c r="L145" s="14" t="s">
        <v>16</v>
      </c>
      <c r="M145" s="50" t="s">
        <v>451</v>
      </c>
      <c r="N145" s="38">
        <v>45204</v>
      </c>
      <c r="O145" s="16" t="str">
        <f t="shared" si="6"/>
        <v>OUI</v>
      </c>
    </row>
    <row r="146" spans="1:16" ht="14.4" x14ac:dyDescent="0.3">
      <c r="A146" s="52" t="s">
        <v>34</v>
      </c>
      <c r="B146" s="53" t="s">
        <v>452</v>
      </c>
      <c r="C146" s="13" t="s">
        <v>175</v>
      </c>
      <c r="D146" s="1" t="s">
        <v>453</v>
      </c>
      <c r="E146" s="13" t="s">
        <v>38</v>
      </c>
      <c r="F146" s="54">
        <v>45205.503472222219</v>
      </c>
      <c r="G146" s="13">
        <v>696</v>
      </c>
      <c r="H146" s="13" t="s">
        <v>14</v>
      </c>
      <c r="I146" s="55"/>
      <c r="J146" s="13">
        <v>1013</v>
      </c>
      <c r="K146" s="18" t="str">
        <f t="shared" si="5"/>
        <v/>
      </c>
      <c r="L146" s="13" t="s">
        <v>16</v>
      </c>
      <c r="M146" s="56"/>
      <c r="O146" s="16" t="str">
        <f t="shared" si="6"/>
        <v/>
      </c>
    </row>
    <row r="147" spans="1:16" ht="14.4" x14ac:dyDescent="0.3">
      <c r="A147" s="46" t="s">
        <v>34</v>
      </c>
      <c r="B147" s="47" t="s">
        <v>83</v>
      </c>
      <c r="C147" s="14" t="s">
        <v>88</v>
      </c>
      <c r="D147" s="62" t="s">
        <v>127</v>
      </c>
      <c r="E147" s="14" t="s">
        <v>38</v>
      </c>
      <c r="F147" s="48">
        <v>45209.539421296293</v>
      </c>
      <c r="G147" s="14">
        <v>697</v>
      </c>
      <c r="H147" s="14" t="s">
        <v>24</v>
      </c>
      <c r="I147" s="51">
        <v>45209.538888888892</v>
      </c>
      <c r="J147" s="14">
        <v>1014</v>
      </c>
      <c r="K147" s="18" t="str">
        <f t="shared" si="5"/>
        <v>OUI</v>
      </c>
      <c r="L147" s="14" t="s">
        <v>16</v>
      </c>
      <c r="M147" s="50" t="s">
        <v>454</v>
      </c>
      <c r="N147" s="38">
        <v>45209</v>
      </c>
      <c r="O147" s="16" t="str">
        <f t="shared" si="6"/>
        <v>OUI</v>
      </c>
    </row>
    <row r="148" spans="1:16" ht="14.4" x14ac:dyDescent="0.3">
      <c r="A148" s="52" t="s">
        <v>34</v>
      </c>
      <c r="B148" s="53" t="s">
        <v>455</v>
      </c>
      <c r="C148" s="13" t="s">
        <v>88</v>
      </c>
      <c r="D148" s="13" t="s">
        <v>456</v>
      </c>
      <c r="E148" s="13" t="s">
        <v>38</v>
      </c>
      <c r="F148" s="54">
        <v>45212.154166666667</v>
      </c>
      <c r="G148" s="13">
        <v>698</v>
      </c>
      <c r="H148" s="13" t="s">
        <v>14</v>
      </c>
      <c r="I148" s="55"/>
      <c r="J148" s="13">
        <v>1015</v>
      </c>
      <c r="K148" s="18" t="str">
        <f t="shared" si="5"/>
        <v/>
      </c>
      <c r="L148" s="13" t="s">
        <v>16</v>
      </c>
      <c r="M148" s="56"/>
      <c r="O148" s="16" t="str">
        <f t="shared" si="6"/>
        <v/>
      </c>
    </row>
    <row r="149" spans="1:16" ht="14.4" x14ac:dyDescent="0.3">
      <c r="A149" s="46" t="s">
        <v>32</v>
      </c>
      <c r="B149" s="47" t="s">
        <v>457</v>
      </c>
      <c r="C149" s="14" t="s">
        <v>172</v>
      </c>
      <c r="D149" s="1" t="s">
        <v>458</v>
      </c>
      <c r="E149" s="14" t="s">
        <v>33</v>
      </c>
      <c r="F149" s="48">
        <v>45212.356944444444</v>
      </c>
      <c r="G149" s="14">
        <v>699</v>
      </c>
      <c r="H149" s="14" t="s">
        <v>14</v>
      </c>
      <c r="I149" s="49"/>
      <c r="J149" s="14">
        <v>1016</v>
      </c>
      <c r="K149" s="18" t="str">
        <f t="shared" si="5"/>
        <v/>
      </c>
      <c r="L149" s="14" t="s">
        <v>16</v>
      </c>
      <c r="M149" s="50"/>
      <c r="O149" s="16" t="str">
        <f t="shared" si="6"/>
        <v/>
      </c>
    </row>
    <row r="150" spans="1:16" ht="14.4" x14ac:dyDescent="0.3">
      <c r="A150" s="46" t="s">
        <v>34</v>
      </c>
      <c r="B150" s="10" t="s">
        <v>459</v>
      </c>
      <c r="C150" s="14" t="s">
        <v>66</v>
      </c>
      <c r="D150" s="62" t="s">
        <v>460</v>
      </c>
      <c r="E150" s="14" t="s">
        <v>38</v>
      </c>
      <c r="F150" s="48">
        <v>45217.711111111108</v>
      </c>
      <c r="G150" s="14">
        <v>701</v>
      </c>
      <c r="H150" s="14" t="s">
        <v>14</v>
      </c>
      <c r="I150" s="51">
        <v>45222.608206018522</v>
      </c>
      <c r="J150" s="14">
        <v>1018</v>
      </c>
      <c r="K150" s="18" t="str">
        <f t="shared" si="5"/>
        <v>OUI</v>
      </c>
      <c r="L150" s="14" t="s">
        <v>16</v>
      </c>
      <c r="M150" s="50" t="s">
        <v>461</v>
      </c>
      <c r="N150" s="38">
        <v>45219</v>
      </c>
      <c r="O150" s="16" t="str">
        <f t="shared" si="6"/>
        <v>OUI</v>
      </c>
      <c r="P150" t="s">
        <v>462</v>
      </c>
    </row>
    <row r="151" spans="1:16" ht="14.4" x14ac:dyDescent="0.3">
      <c r="A151" s="46" t="s">
        <v>262</v>
      </c>
      <c r="B151" s="47" t="s">
        <v>463</v>
      </c>
      <c r="C151" s="14" t="s">
        <v>464</v>
      </c>
      <c r="D151" s="1" t="s">
        <v>465</v>
      </c>
      <c r="E151" s="14" t="s">
        <v>266</v>
      </c>
      <c r="F151" s="48">
        <v>45231.525000000001</v>
      </c>
      <c r="G151" s="14">
        <v>702</v>
      </c>
      <c r="H151" s="14" t="s">
        <v>14</v>
      </c>
      <c r="I151" s="49"/>
      <c r="J151" s="14">
        <v>1019</v>
      </c>
      <c r="K151" s="18" t="str">
        <f t="shared" si="5"/>
        <v/>
      </c>
      <c r="L151" s="14" t="s">
        <v>16</v>
      </c>
      <c r="M151" s="50"/>
      <c r="O151" s="16" t="str">
        <f t="shared" si="6"/>
        <v/>
      </c>
    </row>
    <row r="152" spans="1:16" ht="14.4" x14ac:dyDescent="0.3">
      <c r="A152" s="52" t="s">
        <v>34</v>
      </c>
      <c r="B152" s="53" t="s">
        <v>466</v>
      </c>
      <c r="C152" s="13" t="s">
        <v>264</v>
      </c>
      <c r="D152" s="63" t="s">
        <v>467</v>
      </c>
      <c r="E152" s="13" t="s">
        <v>38</v>
      </c>
      <c r="F152" s="54">
        <v>45237.555555555555</v>
      </c>
      <c r="G152" s="13">
        <v>703</v>
      </c>
      <c r="H152" s="13" t="s">
        <v>24</v>
      </c>
      <c r="I152" s="58">
        <v>45237.555555555555</v>
      </c>
      <c r="J152" s="13">
        <v>1020</v>
      </c>
      <c r="K152" s="18" t="str">
        <f t="shared" si="5"/>
        <v>OUI</v>
      </c>
      <c r="L152" s="13" t="s">
        <v>16</v>
      </c>
      <c r="M152" s="56" t="s">
        <v>468</v>
      </c>
      <c r="N152" s="38">
        <v>45237</v>
      </c>
      <c r="O152" s="16" t="str">
        <f t="shared" si="6"/>
        <v>OUI</v>
      </c>
    </row>
    <row r="153" spans="1:16" ht="14.4" x14ac:dyDescent="0.3">
      <c r="A153" s="46" t="s">
        <v>34</v>
      </c>
      <c r="B153" s="10" t="s">
        <v>469</v>
      </c>
      <c r="C153" s="1" t="s">
        <v>226</v>
      </c>
      <c r="D153" s="14" t="s">
        <v>470</v>
      </c>
      <c r="E153" s="14" t="s">
        <v>38</v>
      </c>
      <c r="F153" s="48">
        <v>45247.224305555559</v>
      </c>
      <c r="G153" s="14">
        <v>706</v>
      </c>
      <c r="H153" s="14" t="s">
        <v>14</v>
      </c>
      <c r="I153" s="49"/>
      <c r="J153" s="14">
        <v>1025</v>
      </c>
      <c r="K153" s="18" t="str">
        <f t="shared" si="5"/>
        <v/>
      </c>
      <c r="L153" s="14" t="s">
        <v>16</v>
      </c>
      <c r="M153" s="50"/>
      <c r="O153" s="16" t="str">
        <f t="shared" si="6"/>
        <v/>
      </c>
    </row>
    <row r="154" spans="1:16" ht="14.4" x14ac:dyDescent="0.3">
      <c r="A154" s="46" t="s">
        <v>99</v>
      </c>
      <c r="B154" s="47" t="s">
        <v>471</v>
      </c>
      <c r="C154" s="14" t="s">
        <v>63</v>
      </c>
      <c r="D154" t="s">
        <v>472</v>
      </c>
      <c r="E154" s="14" t="s">
        <v>13</v>
      </c>
      <c r="F154" s="48">
        <v>45247.411805555559</v>
      </c>
      <c r="G154" s="14">
        <v>707</v>
      </c>
      <c r="H154" s="14" t="s">
        <v>14</v>
      </c>
      <c r="I154" s="49"/>
      <c r="J154" s="14">
        <v>1026</v>
      </c>
      <c r="K154" s="18" t="str">
        <f t="shared" si="5"/>
        <v/>
      </c>
      <c r="L154" s="14" t="s">
        <v>16</v>
      </c>
      <c r="M154" s="50"/>
      <c r="O154" s="16" t="str">
        <f t="shared" si="6"/>
        <v/>
      </c>
    </row>
    <row r="155" spans="1:16" ht="14.4" x14ac:dyDescent="0.3">
      <c r="A155" s="46" t="s">
        <v>34</v>
      </c>
      <c r="B155" s="47" t="s">
        <v>473</v>
      </c>
      <c r="C155" s="14" t="s">
        <v>47</v>
      </c>
      <c r="D155" s="14" t="s">
        <v>474</v>
      </c>
      <c r="E155" s="14" t="s">
        <v>38</v>
      </c>
      <c r="F155" s="48">
        <v>45247.609722222223</v>
      </c>
      <c r="G155" s="14">
        <v>708</v>
      </c>
      <c r="H155" s="14" t="s">
        <v>14</v>
      </c>
      <c r="I155" s="51">
        <v>45247.617129629631</v>
      </c>
      <c r="J155" s="14">
        <v>1027</v>
      </c>
      <c r="K155" s="18" t="str">
        <f t="shared" si="5"/>
        <v>OUI</v>
      </c>
      <c r="L155" s="14" t="s">
        <v>16</v>
      </c>
      <c r="M155" s="50" t="s">
        <v>475</v>
      </c>
      <c r="N155" s="38">
        <v>45268</v>
      </c>
      <c r="O155" s="16" t="str">
        <f t="shared" si="6"/>
        <v>OUI</v>
      </c>
    </row>
    <row r="156" spans="1:16" ht="14.4" x14ac:dyDescent="0.3">
      <c r="A156" s="46" t="s">
        <v>34</v>
      </c>
      <c r="B156" s="47" t="s">
        <v>473</v>
      </c>
      <c r="C156" s="14" t="s">
        <v>47</v>
      </c>
      <c r="D156" s="14" t="s">
        <v>476</v>
      </c>
      <c r="E156" s="14" t="s">
        <v>38</v>
      </c>
      <c r="F156" s="48">
        <v>45247.625</v>
      </c>
      <c r="G156" s="14">
        <v>709</v>
      </c>
      <c r="H156" s="14" t="s">
        <v>14</v>
      </c>
      <c r="I156" s="51">
        <v>45247.629166666666</v>
      </c>
      <c r="J156" s="14">
        <v>1028</v>
      </c>
      <c r="K156" s="18" t="str">
        <f t="shared" si="5"/>
        <v>OUI</v>
      </c>
      <c r="L156" s="14" t="s">
        <v>16</v>
      </c>
      <c r="M156" s="50" t="s">
        <v>477</v>
      </c>
      <c r="N156" s="38">
        <v>45268</v>
      </c>
      <c r="O156" s="16" t="str">
        <f t="shared" si="6"/>
        <v>OUI</v>
      </c>
    </row>
    <row r="157" spans="1:16" ht="14.4" x14ac:dyDescent="0.3">
      <c r="A157" s="46" t="s">
        <v>34</v>
      </c>
      <c r="B157" s="47" t="s">
        <v>478</v>
      </c>
      <c r="C157" s="14" t="s">
        <v>88</v>
      </c>
      <c r="D157" s="14" t="s">
        <v>479</v>
      </c>
      <c r="E157" s="14" t="s">
        <v>38</v>
      </c>
      <c r="F157" s="48">
        <v>45248.606249999997</v>
      </c>
      <c r="G157" s="14">
        <v>710</v>
      </c>
      <c r="H157" s="14" t="s">
        <v>24</v>
      </c>
      <c r="I157" s="51">
        <v>45248.606249999997</v>
      </c>
      <c r="J157" s="14">
        <v>1029</v>
      </c>
      <c r="K157" s="18" t="str">
        <f t="shared" si="5"/>
        <v>OUI</v>
      </c>
      <c r="L157" s="14" t="s">
        <v>16</v>
      </c>
      <c r="M157" s="50" t="s">
        <v>480</v>
      </c>
      <c r="N157" s="38">
        <v>45248</v>
      </c>
      <c r="O157" s="16" t="str">
        <f t="shared" si="6"/>
        <v>OUI</v>
      </c>
    </row>
    <row r="158" spans="1:16" ht="14.4" x14ac:dyDescent="0.3">
      <c r="A158" s="46" t="s">
        <v>34</v>
      </c>
      <c r="B158" s="47" t="s">
        <v>481</v>
      </c>
      <c r="C158" s="14" t="s">
        <v>106</v>
      </c>
      <c r="D158" s="14" t="s">
        <v>482</v>
      </c>
      <c r="E158" s="14" t="s">
        <v>38</v>
      </c>
      <c r="F158" s="48">
        <v>45250.637499999997</v>
      </c>
      <c r="G158" s="14">
        <v>711</v>
      </c>
      <c r="H158" s="14" t="s">
        <v>14</v>
      </c>
      <c r="I158" s="49"/>
      <c r="J158" s="14">
        <v>1030</v>
      </c>
      <c r="K158" s="18" t="str">
        <f t="shared" si="5"/>
        <v/>
      </c>
      <c r="L158" s="14" t="s">
        <v>16</v>
      </c>
      <c r="M158" s="50"/>
      <c r="O158" s="16" t="str">
        <f t="shared" si="6"/>
        <v/>
      </c>
    </row>
    <row r="159" spans="1:16" ht="14.4" x14ac:dyDescent="0.3">
      <c r="A159" s="52" t="s">
        <v>212</v>
      </c>
      <c r="B159" s="53" t="s">
        <v>483</v>
      </c>
      <c r="C159" s="13" t="s">
        <v>484</v>
      </c>
      <c r="D159" s="13" t="s">
        <v>485</v>
      </c>
      <c r="E159" s="13" t="s">
        <v>27</v>
      </c>
      <c r="F159" s="54">
        <v>45250.768750000003</v>
      </c>
      <c r="G159" s="13">
        <v>712</v>
      </c>
      <c r="H159" s="13" t="s">
        <v>24</v>
      </c>
      <c r="I159" s="58">
        <v>45250.769444444442</v>
      </c>
      <c r="J159" s="13">
        <v>1031</v>
      </c>
      <c r="K159" s="82" t="str">
        <f t="shared" si="5"/>
        <v>OUI</v>
      </c>
      <c r="L159" s="13" t="s">
        <v>16</v>
      </c>
      <c r="M159" s="56" t="s">
        <v>486</v>
      </c>
      <c r="N159" s="38">
        <v>45250</v>
      </c>
      <c r="O159" s="16" t="str">
        <f t="shared" si="6"/>
        <v>OUI</v>
      </c>
    </row>
    <row r="160" spans="1:16" ht="14.4" x14ac:dyDescent="0.3">
      <c r="A160" s="52" t="s">
        <v>34</v>
      </c>
      <c r="B160" s="10" t="s">
        <v>487</v>
      </c>
      <c r="C160" s="13" t="s">
        <v>488</v>
      </c>
      <c r="D160" s="13" t="s">
        <v>489</v>
      </c>
      <c r="E160" s="13" t="s">
        <v>38</v>
      </c>
      <c r="F160" s="54">
        <v>45251.436111111114</v>
      </c>
      <c r="G160" s="13">
        <v>713</v>
      </c>
      <c r="H160" s="13" t="s">
        <v>14</v>
      </c>
      <c r="I160" s="55"/>
      <c r="J160" s="13">
        <v>1032</v>
      </c>
      <c r="K160" s="82" t="str">
        <f t="shared" si="5"/>
        <v/>
      </c>
      <c r="L160" s="13" t="s">
        <v>16</v>
      </c>
      <c r="M160" s="56"/>
      <c r="O160" s="16" t="str">
        <f t="shared" si="6"/>
        <v/>
      </c>
    </row>
    <row r="161" spans="1:15" ht="14.4" x14ac:dyDescent="0.3">
      <c r="A161" s="46" t="s">
        <v>17</v>
      </c>
      <c r="B161" s="47" t="s">
        <v>490</v>
      </c>
      <c r="C161" s="14" t="s">
        <v>320</v>
      </c>
      <c r="D161" s="1" t="s">
        <v>491</v>
      </c>
      <c r="E161" s="14" t="s">
        <v>19</v>
      </c>
      <c r="F161" s="48">
        <v>45251.5</v>
      </c>
      <c r="G161" s="14">
        <v>714</v>
      </c>
      <c r="H161" s="14" t="s">
        <v>14</v>
      </c>
      <c r="I161" s="51">
        <v>45252.529270833336</v>
      </c>
      <c r="J161" s="14">
        <v>1033</v>
      </c>
      <c r="K161" s="81" t="str">
        <f t="shared" si="5"/>
        <v>OUI</v>
      </c>
      <c r="L161" s="14" t="s">
        <v>16</v>
      </c>
      <c r="M161" s="50" t="s">
        <v>492</v>
      </c>
      <c r="N161" s="86"/>
      <c r="O161" s="16" t="str">
        <f t="shared" si="6"/>
        <v>OUI</v>
      </c>
    </row>
    <row r="162" spans="1:15" ht="14.4" x14ac:dyDescent="0.3">
      <c r="A162" s="46" t="s">
        <v>20</v>
      </c>
      <c r="B162" s="47" t="s">
        <v>493</v>
      </c>
      <c r="C162" s="1" t="s">
        <v>66</v>
      </c>
      <c r="D162" t="s">
        <v>494</v>
      </c>
      <c r="E162" s="14" t="s">
        <v>23</v>
      </c>
      <c r="F162" s="48">
        <v>45252.433333333334</v>
      </c>
      <c r="G162" s="14">
        <v>715</v>
      </c>
      <c r="H162" s="14" t="s">
        <v>24</v>
      </c>
      <c r="I162" s="51">
        <v>45252.433333333334</v>
      </c>
      <c r="J162" s="14">
        <v>1034</v>
      </c>
      <c r="K162" s="81" t="str">
        <f t="shared" si="5"/>
        <v>OUI</v>
      </c>
      <c r="L162" s="14" t="s">
        <v>16</v>
      </c>
      <c r="M162" s="50" t="s">
        <v>495</v>
      </c>
      <c r="N162" s="38">
        <v>45252</v>
      </c>
      <c r="O162" s="16" t="str">
        <f t="shared" si="6"/>
        <v>OUI</v>
      </c>
    </row>
    <row r="163" spans="1:15" ht="14.4" x14ac:dyDescent="0.3">
      <c r="A163" s="46" t="s">
        <v>58</v>
      </c>
      <c r="B163" s="10" t="s">
        <v>496</v>
      </c>
      <c r="C163" s="14" t="s">
        <v>497</v>
      </c>
      <c r="D163" t="s">
        <v>498</v>
      </c>
      <c r="E163" s="14" t="s">
        <v>61</v>
      </c>
      <c r="F163" s="48">
        <v>45253.541666666664</v>
      </c>
      <c r="G163" s="14">
        <v>716</v>
      </c>
      <c r="H163" s="14" t="s">
        <v>14</v>
      </c>
      <c r="I163" s="51">
        <v>45301.408541666664</v>
      </c>
      <c r="J163" s="14">
        <v>1035</v>
      </c>
      <c r="K163" s="81" t="str">
        <f t="shared" si="5"/>
        <v>OUI</v>
      </c>
      <c r="L163" s="14" t="s">
        <v>16</v>
      </c>
      <c r="M163" s="50" t="s">
        <v>499</v>
      </c>
      <c r="N163" s="38">
        <v>45267</v>
      </c>
      <c r="O163" s="16" t="str">
        <f t="shared" si="6"/>
        <v>OUI</v>
      </c>
    </row>
    <row r="164" spans="1:15" ht="14.4" x14ac:dyDescent="0.3">
      <c r="A164" s="52" t="s">
        <v>17</v>
      </c>
      <c r="B164" s="53" t="s">
        <v>500</v>
      </c>
      <c r="C164" s="13" t="s">
        <v>294</v>
      </c>
      <c r="D164" s="13" t="s">
        <v>501</v>
      </c>
      <c r="E164" s="13" t="s">
        <v>19</v>
      </c>
      <c r="F164" s="54">
        <v>45254.54791666667</v>
      </c>
      <c r="G164" s="13">
        <v>717</v>
      </c>
      <c r="H164" s="13" t="s">
        <v>14</v>
      </c>
      <c r="I164" s="55"/>
      <c r="J164" s="13">
        <v>1036</v>
      </c>
      <c r="K164" s="81" t="str">
        <f t="shared" si="5"/>
        <v/>
      </c>
      <c r="L164" s="13" t="s">
        <v>16</v>
      </c>
      <c r="M164" s="56"/>
      <c r="O164" s="16" t="str">
        <f t="shared" si="6"/>
        <v/>
      </c>
    </row>
    <row r="165" spans="1:15" ht="14.4" x14ac:dyDescent="0.3">
      <c r="A165" s="52" t="s">
        <v>150</v>
      </c>
      <c r="B165" s="53" t="s">
        <v>502</v>
      </c>
      <c r="C165" s="13" t="s">
        <v>320</v>
      </c>
      <c r="D165" s="1" t="s">
        <v>503</v>
      </c>
      <c r="E165" s="13" t="s">
        <v>33</v>
      </c>
      <c r="F165" s="54">
        <v>45258.523611111108</v>
      </c>
      <c r="G165" s="13">
        <v>718</v>
      </c>
      <c r="H165" s="13" t="s">
        <v>14</v>
      </c>
      <c r="I165" s="55"/>
      <c r="J165" s="13">
        <v>1037</v>
      </c>
      <c r="K165" s="81" t="str">
        <f t="shared" si="5"/>
        <v/>
      </c>
      <c r="L165" s="13" t="s">
        <v>16</v>
      </c>
      <c r="M165" s="56"/>
      <c r="O165" s="16" t="str">
        <f t="shared" si="6"/>
        <v/>
      </c>
    </row>
    <row r="166" spans="1:15" ht="14.4" x14ac:dyDescent="0.3">
      <c r="A166" s="52" t="s">
        <v>34</v>
      </c>
      <c r="B166" s="53" t="s">
        <v>504</v>
      </c>
      <c r="C166" s="1" t="s">
        <v>88</v>
      </c>
      <c r="D166" t="s">
        <v>505</v>
      </c>
      <c r="E166" s="13" t="s">
        <v>38</v>
      </c>
      <c r="F166" s="54">
        <v>45259.363888888889</v>
      </c>
      <c r="G166" s="13">
        <v>719</v>
      </c>
      <c r="H166" s="13" t="s">
        <v>14</v>
      </c>
      <c r="I166" s="58">
        <v>45301.456250000003</v>
      </c>
      <c r="J166" s="13">
        <v>1038</v>
      </c>
      <c r="K166" s="81" t="str">
        <f t="shared" si="5"/>
        <v>OUI</v>
      </c>
      <c r="L166" s="13" t="s">
        <v>16</v>
      </c>
      <c r="M166" s="56" t="s">
        <v>506</v>
      </c>
      <c r="N166" s="38">
        <v>45267</v>
      </c>
      <c r="O166" s="16" t="str">
        <f t="shared" si="6"/>
        <v>OUI</v>
      </c>
    </row>
    <row r="167" spans="1:15" ht="14.4" x14ac:dyDescent="0.3">
      <c r="A167" s="52" t="s">
        <v>20</v>
      </c>
      <c r="B167" s="10" t="s">
        <v>507</v>
      </c>
      <c r="C167" s="13" t="s">
        <v>175</v>
      </c>
      <c r="D167" s="63" t="s">
        <v>508</v>
      </c>
      <c r="E167" s="13" t="s">
        <v>23</v>
      </c>
      <c r="F167" s="54">
        <v>45261.490972222222</v>
      </c>
      <c r="G167" s="13">
        <v>720</v>
      </c>
      <c r="H167" s="13" t="s">
        <v>24</v>
      </c>
      <c r="I167" s="58">
        <v>45261.490972222222</v>
      </c>
      <c r="J167" s="13">
        <v>1040</v>
      </c>
      <c r="K167" s="81" t="str">
        <f t="shared" si="5"/>
        <v>OUI</v>
      </c>
      <c r="L167" s="13" t="s">
        <v>16</v>
      </c>
      <c r="M167" s="56" t="s">
        <v>509</v>
      </c>
      <c r="N167" s="38">
        <v>45261</v>
      </c>
      <c r="O167" s="16" t="str">
        <f t="shared" si="6"/>
        <v>OUI</v>
      </c>
    </row>
    <row r="168" spans="1:15" ht="14.4" x14ac:dyDescent="0.3">
      <c r="A168" s="52" t="s">
        <v>10</v>
      </c>
      <c r="B168" s="53" t="s">
        <v>510</v>
      </c>
      <c r="C168" s="13" t="s">
        <v>511</v>
      </c>
      <c r="D168" s="1" t="s">
        <v>512</v>
      </c>
      <c r="E168" s="13" t="s">
        <v>13</v>
      </c>
      <c r="F168" s="54">
        <v>45270.54583333333</v>
      </c>
      <c r="G168" s="13">
        <v>721</v>
      </c>
      <c r="H168" s="13" t="s">
        <v>14</v>
      </c>
      <c r="I168" s="55"/>
      <c r="J168" s="13">
        <v>1041</v>
      </c>
      <c r="K168" s="81" t="str">
        <f t="shared" si="5"/>
        <v/>
      </c>
      <c r="L168" s="13" t="s">
        <v>16</v>
      </c>
      <c r="M168" s="56"/>
      <c r="O168" s="16" t="str">
        <f t="shared" si="6"/>
        <v/>
      </c>
    </row>
    <row r="169" spans="1:15" ht="14.4" x14ac:dyDescent="0.3">
      <c r="A169" s="52" t="s">
        <v>34</v>
      </c>
      <c r="B169" s="53" t="s">
        <v>513</v>
      </c>
      <c r="C169" s="13" t="s">
        <v>226</v>
      </c>
      <c r="D169" t="s">
        <v>514</v>
      </c>
      <c r="E169" s="13" t="s">
        <v>38</v>
      </c>
      <c r="F169" s="54">
        <v>45270.689583333333</v>
      </c>
      <c r="G169" s="13">
        <v>722</v>
      </c>
      <c r="H169" s="13" t="s">
        <v>24</v>
      </c>
      <c r="I169" s="58">
        <v>45270.689583333333</v>
      </c>
      <c r="J169" s="13">
        <v>1042</v>
      </c>
      <c r="K169" s="81" t="str">
        <f t="shared" si="5"/>
        <v>OUI</v>
      </c>
      <c r="L169" s="13" t="s">
        <v>16</v>
      </c>
      <c r="M169" s="56" t="s">
        <v>515</v>
      </c>
      <c r="N169" s="38">
        <v>45270</v>
      </c>
      <c r="O169" s="16" t="str">
        <f t="shared" si="6"/>
        <v>OUI</v>
      </c>
    </row>
    <row r="170" spans="1:15" ht="14.4" x14ac:dyDescent="0.3">
      <c r="A170" s="52" t="s">
        <v>34</v>
      </c>
      <c r="B170" s="10" t="s">
        <v>516</v>
      </c>
      <c r="C170" s="13" t="s">
        <v>26</v>
      </c>
      <c r="D170" t="s">
        <v>517</v>
      </c>
      <c r="E170" s="13" t="s">
        <v>38</v>
      </c>
      <c r="F170" s="54">
        <v>45271.432638888888</v>
      </c>
      <c r="G170" s="13">
        <v>723</v>
      </c>
      <c r="H170" s="13" t="s">
        <v>24</v>
      </c>
      <c r="I170" s="58">
        <v>45271.432638888888</v>
      </c>
      <c r="J170" s="13">
        <v>1044</v>
      </c>
      <c r="K170" s="81" t="str">
        <f t="shared" si="5"/>
        <v>OUI</v>
      </c>
      <c r="L170" s="13" t="s">
        <v>16</v>
      </c>
      <c r="M170" s="56" t="s">
        <v>518</v>
      </c>
      <c r="N170" s="38">
        <v>45271</v>
      </c>
      <c r="O170" s="16" t="str">
        <f t="shared" si="6"/>
        <v>OUI</v>
      </c>
    </row>
    <row r="171" spans="1:15" ht="14.4" x14ac:dyDescent="0.3">
      <c r="A171" s="46" t="s">
        <v>262</v>
      </c>
      <c r="B171" s="47" t="s">
        <v>519</v>
      </c>
      <c r="C171" s="14" t="s">
        <v>520</v>
      </c>
      <c r="D171" t="s">
        <v>521</v>
      </c>
      <c r="E171" s="14" t="s">
        <v>266</v>
      </c>
      <c r="F171" s="48">
        <v>45271.472222222219</v>
      </c>
      <c r="G171" s="14">
        <v>725</v>
      </c>
      <c r="H171" s="14" t="s">
        <v>24</v>
      </c>
      <c r="I171" s="51">
        <v>45271.472222222219</v>
      </c>
      <c r="J171" s="14">
        <v>1047</v>
      </c>
      <c r="K171" s="81" t="str">
        <f t="shared" si="5"/>
        <v>OUI</v>
      </c>
      <c r="L171" s="14" t="s">
        <v>16</v>
      </c>
      <c r="M171" s="103" t="s">
        <v>522</v>
      </c>
      <c r="N171" s="38">
        <v>45271</v>
      </c>
      <c r="O171" s="16" t="str">
        <f t="shared" si="6"/>
        <v>OUI</v>
      </c>
    </row>
    <row r="172" spans="1:15" ht="14.4" x14ac:dyDescent="0.3">
      <c r="A172" s="52" t="s">
        <v>34</v>
      </c>
      <c r="B172" s="53" t="s">
        <v>523</v>
      </c>
      <c r="C172" s="13" t="s">
        <v>294</v>
      </c>
      <c r="D172" s="13" t="s">
        <v>524</v>
      </c>
      <c r="E172" s="13" t="s">
        <v>38</v>
      </c>
      <c r="F172" s="54">
        <v>45271.518750000003</v>
      </c>
      <c r="G172" s="13">
        <v>726</v>
      </c>
      <c r="H172" s="13" t="s">
        <v>24</v>
      </c>
      <c r="I172" s="58">
        <v>45271.518750000003</v>
      </c>
      <c r="J172" s="13">
        <v>1048</v>
      </c>
      <c r="K172" s="81" t="str">
        <f t="shared" si="5"/>
        <v>OUI</v>
      </c>
      <c r="L172" s="13" t="s">
        <v>16</v>
      </c>
      <c r="M172" s="56" t="s">
        <v>525</v>
      </c>
      <c r="N172" s="38">
        <v>45271</v>
      </c>
      <c r="O172" s="16" t="str">
        <f t="shared" si="6"/>
        <v>OUI</v>
      </c>
    </row>
    <row r="173" spans="1:15" ht="14.4" x14ac:dyDescent="0.3">
      <c r="A173" s="52" t="s">
        <v>34</v>
      </c>
      <c r="B173" s="53" t="s">
        <v>526</v>
      </c>
      <c r="C173" s="13" t="s">
        <v>527</v>
      </c>
      <c r="D173" s="13" t="s">
        <v>528</v>
      </c>
      <c r="E173" s="13" t="s">
        <v>38</v>
      </c>
      <c r="F173" s="54">
        <v>45274.356249999997</v>
      </c>
      <c r="G173" s="13">
        <v>727</v>
      </c>
      <c r="H173" s="13" t="s">
        <v>24</v>
      </c>
      <c r="I173" s="58">
        <v>45274.356249999997</v>
      </c>
      <c r="J173" s="13">
        <v>1049</v>
      </c>
      <c r="K173" s="81" t="str">
        <f t="shared" si="5"/>
        <v>OUI</v>
      </c>
      <c r="L173" s="13" t="s">
        <v>16</v>
      </c>
      <c r="M173" s="56" t="s">
        <v>529</v>
      </c>
      <c r="N173" s="38">
        <v>45274</v>
      </c>
      <c r="O173" s="16" t="str">
        <f t="shared" si="6"/>
        <v>OUI</v>
      </c>
    </row>
    <row r="174" spans="1:15" ht="14.4" x14ac:dyDescent="0.3">
      <c r="A174" s="46" t="s">
        <v>34</v>
      </c>
      <c r="B174" s="47" t="s">
        <v>530</v>
      </c>
      <c r="C174" s="14" t="s">
        <v>172</v>
      </c>
      <c r="D174" s="14" t="s">
        <v>531</v>
      </c>
      <c r="E174" s="14" t="s">
        <v>38</v>
      </c>
      <c r="F174" s="48">
        <v>45274.366666666669</v>
      </c>
      <c r="G174" s="14">
        <v>728</v>
      </c>
      <c r="H174" s="14" t="s">
        <v>14</v>
      </c>
      <c r="I174" s="49"/>
      <c r="J174" s="14">
        <v>1050</v>
      </c>
      <c r="K174" s="81" t="str">
        <f t="shared" si="5"/>
        <v/>
      </c>
      <c r="L174" s="14" t="s">
        <v>16</v>
      </c>
      <c r="M174" s="50"/>
      <c r="O174" s="16" t="str">
        <f t="shared" si="6"/>
        <v/>
      </c>
    </row>
    <row r="175" spans="1:15" ht="14.4" x14ac:dyDescent="0.3">
      <c r="A175" s="52" t="s">
        <v>34</v>
      </c>
      <c r="B175" s="53" t="s">
        <v>532</v>
      </c>
      <c r="C175" s="13" t="s">
        <v>47</v>
      </c>
      <c r="D175" s="13" t="s">
        <v>533</v>
      </c>
      <c r="E175" s="13" t="s">
        <v>38</v>
      </c>
      <c r="F175" s="54">
        <v>45274.433333333334</v>
      </c>
      <c r="G175" s="13">
        <v>729</v>
      </c>
      <c r="H175" s="13" t="s">
        <v>14</v>
      </c>
      <c r="I175" s="55"/>
      <c r="J175" s="13">
        <v>1051</v>
      </c>
      <c r="K175" s="81" t="str">
        <f t="shared" si="5"/>
        <v/>
      </c>
      <c r="L175" s="13" t="s">
        <v>16</v>
      </c>
      <c r="M175" s="56"/>
      <c r="O175" s="16" t="str">
        <f t="shared" si="6"/>
        <v/>
      </c>
    </row>
    <row r="176" spans="1:15" ht="14.4" x14ac:dyDescent="0.3">
      <c r="A176" s="52" t="s">
        <v>34</v>
      </c>
      <c r="B176" s="10" t="s">
        <v>534</v>
      </c>
      <c r="C176" s="13" t="s">
        <v>47</v>
      </c>
      <c r="D176" s="13" t="s">
        <v>535</v>
      </c>
      <c r="E176" s="13" t="s">
        <v>38</v>
      </c>
      <c r="F176" s="54">
        <v>45274.525000000001</v>
      </c>
      <c r="G176" s="13">
        <v>730</v>
      </c>
      <c r="H176" s="13" t="s">
        <v>24</v>
      </c>
      <c r="I176" s="58">
        <v>45274.525000000001</v>
      </c>
      <c r="J176" s="13">
        <v>1052</v>
      </c>
      <c r="K176" s="81" t="str">
        <f t="shared" si="5"/>
        <v>OUI</v>
      </c>
      <c r="L176" s="13" t="s">
        <v>16</v>
      </c>
      <c r="M176" s="56" t="s">
        <v>536</v>
      </c>
      <c r="N176" s="38">
        <v>45274</v>
      </c>
      <c r="O176" s="16" t="str">
        <f t="shared" si="6"/>
        <v>OUI</v>
      </c>
    </row>
    <row r="177" spans="1:15" ht="14.4" x14ac:dyDescent="0.3">
      <c r="A177" s="52" t="s">
        <v>17</v>
      </c>
      <c r="B177" s="53" t="s">
        <v>537</v>
      </c>
      <c r="C177" s="13" t="s">
        <v>538</v>
      </c>
      <c r="D177" s="13" t="s">
        <v>539</v>
      </c>
      <c r="E177" s="13" t="s">
        <v>19</v>
      </c>
      <c r="F177" s="54">
        <v>45274.536805555559</v>
      </c>
      <c r="G177" s="13">
        <v>731</v>
      </c>
      <c r="H177" s="13" t="s">
        <v>14</v>
      </c>
      <c r="I177" s="58">
        <v>45299.484629629631</v>
      </c>
      <c r="J177" s="13">
        <v>1053</v>
      </c>
      <c r="K177" s="81" t="str">
        <f t="shared" si="5"/>
        <v>OUI</v>
      </c>
      <c r="L177" s="13" t="s">
        <v>16</v>
      </c>
      <c r="M177" s="56" t="s">
        <v>540</v>
      </c>
      <c r="N177" s="38">
        <v>45280</v>
      </c>
      <c r="O177" s="16" t="str">
        <f t="shared" si="6"/>
        <v>OUI</v>
      </c>
    </row>
    <row r="178" spans="1:15" ht="14.4" x14ac:dyDescent="0.3">
      <c r="A178" s="46" t="s">
        <v>34</v>
      </c>
      <c r="B178" s="47" t="s">
        <v>541</v>
      </c>
      <c r="C178" s="14" t="s">
        <v>259</v>
      </c>
      <c r="D178" s="14" t="s">
        <v>542</v>
      </c>
      <c r="E178" s="14" t="s">
        <v>38</v>
      </c>
      <c r="F178" s="48">
        <v>45274.539583333331</v>
      </c>
      <c r="G178" s="14">
        <v>732</v>
      </c>
      <c r="H178" s="14" t="s">
        <v>14</v>
      </c>
      <c r="I178" s="49"/>
      <c r="J178" s="14">
        <v>1054</v>
      </c>
      <c r="K178" s="81" t="str">
        <f t="shared" si="5"/>
        <v/>
      </c>
      <c r="L178" s="14" t="s">
        <v>16</v>
      </c>
      <c r="M178" s="50"/>
      <c r="O178" s="16" t="str">
        <f t="shared" si="6"/>
        <v/>
      </c>
    </row>
    <row r="179" spans="1:15" ht="14.4" x14ac:dyDescent="0.3">
      <c r="A179" s="52" t="s">
        <v>34</v>
      </c>
      <c r="B179" s="53" t="s">
        <v>543</v>
      </c>
      <c r="C179" s="13" t="s">
        <v>398</v>
      </c>
      <c r="D179" s="13" t="s">
        <v>544</v>
      </c>
      <c r="E179" s="13" t="s">
        <v>38</v>
      </c>
      <c r="F179" s="54">
        <v>45274.541666666664</v>
      </c>
      <c r="G179" s="13">
        <v>733</v>
      </c>
      <c r="H179" s="13" t="s">
        <v>14</v>
      </c>
      <c r="I179" s="55"/>
      <c r="J179" s="13">
        <v>1055</v>
      </c>
      <c r="K179" s="81" t="str">
        <f t="shared" si="5"/>
        <v/>
      </c>
      <c r="L179" s="13" t="s">
        <v>16</v>
      </c>
      <c r="M179" s="56"/>
      <c r="O179" s="16" t="str">
        <f t="shared" si="6"/>
        <v/>
      </c>
    </row>
    <row r="180" spans="1:15" ht="14.4" x14ac:dyDescent="0.3">
      <c r="A180" s="46" t="s">
        <v>34</v>
      </c>
      <c r="B180" s="10" t="s">
        <v>545</v>
      </c>
      <c r="C180" s="1" t="s">
        <v>259</v>
      </c>
      <c r="D180" s="14" t="s">
        <v>546</v>
      </c>
      <c r="E180" s="14" t="s">
        <v>38</v>
      </c>
      <c r="F180" s="48">
        <v>45274.54583333333</v>
      </c>
      <c r="G180" s="14">
        <v>734</v>
      </c>
      <c r="H180" s="14" t="s">
        <v>14</v>
      </c>
      <c r="I180" s="49"/>
      <c r="J180" s="14">
        <v>1056</v>
      </c>
      <c r="K180" s="81" t="str">
        <f t="shared" si="5"/>
        <v/>
      </c>
      <c r="L180" s="14" t="s">
        <v>16</v>
      </c>
      <c r="M180" s="50"/>
      <c r="O180" s="16" t="str">
        <f t="shared" si="6"/>
        <v/>
      </c>
    </row>
    <row r="181" spans="1:15" ht="14.4" x14ac:dyDescent="0.3">
      <c r="A181" s="46" t="s">
        <v>17</v>
      </c>
      <c r="B181" s="47" t="s">
        <v>547</v>
      </c>
      <c r="C181" s="14" t="s">
        <v>427</v>
      </c>
      <c r="D181" s="14" t="s">
        <v>548</v>
      </c>
      <c r="E181" s="14" t="s">
        <v>19</v>
      </c>
      <c r="F181" s="48">
        <v>45274.54583333333</v>
      </c>
      <c r="G181" s="14">
        <v>735</v>
      </c>
      <c r="H181" s="14" t="s">
        <v>14</v>
      </c>
      <c r="I181" s="49"/>
      <c r="J181" s="14">
        <v>1057</v>
      </c>
      <c r="K181" s="81" t="str">
        <f t="shared" ref="K181:K244" si="7">IF(AND(NOT(ISBLANK(I181)), NOT(ISBLANK(M181))), "OUI", "")</f>
        <v/>
      </c>
      <c r="L181" s="14" t="s">
        <v>16</v>
      </c>
      <c r="M181" s="50"/>
      <c r="O181" s="16" t="str">
        <f t="shared" si="6"/>
        <v/>
      </c>
    </row>
    <row r="182" spans="1:15" ht="14.4" x14ac:dyDescent="0.3">
      <c r="A182" s="46" t="s">
        <v>17</v>
      </c>
      <c r="B182" s="10" t="s">
        <v>549</v>
      </c>
      <c r="C182" s="14" t="s">
        <v>443</v>
      </c>
      <c r="D182" s="1" t="s">
        <v>550</v>
      </c>
      <c r="E182" s="14" t="s">
        <v>19</v>
      </c>
      <c r="F182" s="48">
        <v>45274.644444444442</v>
      </c>
      <c r="G182" s="14">
        <v>736</v>
      </c>
      <c r="H182" s="14" t="s">
        <v>14</v>
      </c>
      <c r="I182" s="49"/>
      <c r="J182" s="14">
        <v>1058</v>
      </c>
      <c r="K182" s="81" t="str">
        <f t="shared" si="7"/>
        <v/>
      </c>
      <c r="L182" s="14" t="s">
        <v>16</v>
      </c>
      <c r="M182" s="56"/>
      <c r="O182" s="16" t="str">
        <f t="shared" si="6"/>
        <v/>
      </c>
    </row>
    <row r="183" spans="1:15" ht="14.4" x14ac:dyDescent="0.3">
      <c r="A183" s="52" t="s">
        <v>17</v>
      </c>
      <c r="B183" s="10" t="s">
        <v>551</v>
      </c>
      <c r="C183" s="1" t="s">
        <v>538</v>
      </c>
      <c r="D183" t="s">
        <v>552</v>
      </c>
      <c r="E183" s="13" t="s">
        <v>19</v>
      </c>
      <c r="F183" s="54">
        <v>45276.265972222223</v>
      </c>
      <c r="G183" s="13">
        <v>737</v>
      </c>
      <c r="H183" s="13" t="s">
        <v>14</v>
      </c>
      <c r="I183" s="58">
        <v>45330.477650462963</v>
      </c>
      <c r="J183" s="13">
        <v>1059</v>
      </c>
      <c r="K183" s="81" t="str">
        <f t="shared" si="7"/>
        <v>OUI</v>
      </c>
      <c r="L183" s="13" t="s">
        <v>16</v>
      </c>
      <c r="M183" s="56" t="s">
        <v>553</v>
      </c>
      <c r="N183" s="38">
        <v>45280</v>
      </c>
      <c r="O183" s="16" t="str">
        <f t="shared" si="6"/>
        <v>OUI</v>
      </c>
    </row>
    <row r="184" spans="1:15" ht="14.4" x14ac:dyDescent="0.3">
      <c r="A184" s="46" t="s">
        <v>10</v>
      </c>
      <c r="B184" s="10" t="s">
        <v>554</v>
      </c>
      <c r="C184" s="14" t="s">
        <v>555</v>
      </c>
      <c r="D184" s="14" t="s">
        <v>556</v>
      </c>
      <c r="E184" s="14" t="s">
        <v>13</v>
      </c>
      <c r="F184" s="48">
        <v>45277.379166666666</v>
      </c>
      <c r="G184" s="14">
        <v>738</v>
      </c>
      <c r="H184" s="14" t="s">
        <v>14</v>
      </c>
      <c r="I184" s="49"/>
      <c r="J184" s="14">
        <v>1060</v>
      </c>
      <c r="K184" s="81" t="str">
        <f t="shared" si="7"/>
        <v/>
      </c>
      <c r="L184" s="14" t="s">
        <v>16</v>
      </c>
      <c r="M184" s="50"/>
      <c r="O184" s="16" t="str">
        <f t="shared" si="6"/>
        <v/>
      </c>
    </row>
    <row r="185" spans="1:15" ht="14.4" x14ac:dyDescent="0.3">
      <c r="A185" s="52" t="s">
        <v>209</v>
      </c>
      <c r="B185" s="53" t="s">
        <v>557</v>
      </c>
      <c r="C185" s="13" t="s">
        <v>558</v>
      </c>
      <c r="D185" s="13" t="s">
        <v>559</v>
      </c>
      <c r="E185" s="13" t="s">
        <v>57</v>
      </c>
      <c r="F185" s="54">
        <v>45281.359027777777</v>
      </c>
      <c r="G185" s="13">
        <v>739</v>
      </c>
      <c r="H185" s="13" t="s">
        <v>24</v>
      </c>
      <c r="I185" s="58">
        <v>45281.359027777777</v>
      </c>
      <c r="J185" s="13">
        <v>1062</v>
      </c>
      <c r="K185" s="81" t="str">
        <f t="shared" si="7"/>
        <v>OUI</v>
      </c>
      <c r="L185" s="13" t="s">
        <v>16</v>
      </c>
      <c r="M185" s="56" t="s">
        <v>560</v>
      </c>
      <c r="N185" s="38">
        <v>45281</v>
      </c>
      <c r="O185" s="16" t="str">
        <f t="shared" si="6"/>
        <v>OUI</v>
      </c>
    </row>
    <row r="186" spans="1:15" ht="14.4" x14ac:dyDescent="0.3">
      <c r="A186" s="46" t="s">
        <v>58</v>
      </c>
      <c r="B186" s="47" t="s">
        <v>561</v>
      </c>
      <c r="C186" s="14" t="s">
        <v>562</v>
      </c>
      <c r="D186" t="s">
        <v>563</v>
      </c>
      <c r="E186" s="14" t="s">
        <v>61</v>
      </c>
      <c r="F186" s="48">
        <v>45281.388888888891</v>
      </c>
      <c r="G186" s="14">
        <v>740</v>
      </c>
      <c r="H186" s="14" t="s">
        <v>14</v>
      </c>
      <c r="I186" s="51">
        <v>45300.594733796293</v>
      </c>
      <c r="J186" s="14">
        <v>1063</v>
      </c>
      <c r="K186" s="81" t="str">
        <f t="shared" si="7"/>
        <v>OUI</v>
      </c>
      <c r="L186" s="14" t="s">
        <v>16</v>
      </c>
      <c r="M186" s="50" t="s">
        <v>564</v>
      </c>
      <c r="N186" s="38">
        <v>45308</v>
      </c>
      <c r="O186" s="16" t="str">
        <f t="shared" si="6"/>
        <v>OUI</v>
      </c>
    </row>
    <row r="187" spans="1:15" ht="14.4" x14ac:dyDescent="0.3">
      <c r="A187" s="46" t="s">
        <v>17</v>
      </c>
      <c r="B187" s="10" t="s">
        <v>565</v>
      </c>
      <c r="C187" s="1" t="s">
        <v>538</v>
      </c>
      <c r="D187" t="s">
        <v>566</v>
      </c>
      <c r="E187" s="14" t="s">
        <v>19</v>
      </c>
      <c r="F187" s="48">
        <v>45284.408333333333</v>
      </c>
      <c r="G187" s="14">
        <v>741</v>
      </c>
      <c r="H187" s="14" t="s">
        <v>14</v>
      </c>
      <c r="I187" s="51">
        <v>45299.475289351853</v>
      </c>
      <c r="J187" s="14">
        <v>1064</v>
      </c>
      <c r="K187" s="81" t="str">
        <f t="shared" si="7"/>
        <v>OUI</v>
      </c>
      <c r="L187" s="14" t="s">
        <v>16</v>
      </c>
      <c r="M187" s="50" t="s">
        <v>567</v>
      </c>
      <c r="N187" s="38">
        <v>45280</v>
      </c>
      <c r="O187" s="16" t="str">
        <f t="shared" si="6"/>
        <v>OUI</v>
      </c>
    </row>
    <row r="188" spans="1:15" ht="14.4" x14ac:dyDescent="0.3">
      <c r="A188" s="46" t="s">
        <v>209</v>
      </c>
      <c r="B188" s="47" t="s">
        <v>568</v>
      </c>
      <c r="C188" s="14" t="s">
        <v>520</v>
      </c>
      <c r="D188" s="62" t="s">
        <v>569</v>
      </c>
      <c r="E188" s="14" t="s">
        <v>57</v>
      </c>
      <c r="F188" s="48">
        <v>45294.515972222223</v>
      </c>
      <c r="G188" s="14">
        <v>742</v>
      </c>
      <c r="H188" s="14" t="s">
        <v>14</v>
      </c>
      <c r="I188" s="51">
        <v>45308.41165509259</v>
      </c>
      <c r="J188" s="14">
        <v>1071</v>
      </c>
      <c r="K188" s="81" t="str">
        <f t="shared" si="7"/>
        <v>OUI</v>
      </c>
      <c r="L188" s="14" t="s">
        <v>16</v>
      </c>
      <c r="M188" s="50" t="s">
        <v>570</v>
      </c>
      <c r="N188" s="38">
        <v>45308</v>
      </c>
      <c r="O188" s="16" t="str">
        <f t="shared" si="6"/>
        <v>OUI</v>
      </c>
    </row>
    <row r="189" spans="1:15" ht="14.4" x14ac:dyDescent="0.3">
      <c r="A189" s="52" t="s">
        <v>17</v>
      </c>
      <c r="B189" s="10" t="s">
        <v>571</v>
      </c>
      <c r="C189" s="13" t="s">
        <v>572</v>
      </c>
      <c r="D189" t="s">
        <v>276</v>
      </c>
      <c r="E189" s="13" t="s">
        <v>19</v>
      </c>
      <c r="F189" s="54">
        <v>45296.673611111109</v>
      </c>
      <c r="G189" s="13">
        <v>743</v>
      </c>
      <c r="H189" s="13" t="s">
        <v>14</v>
      </c>
      <c r="I189" s="58">
        <v>45301.371701388889</v>
      </c>
      <c r="J189" s="13">
        <v>1072</v>
      </c>
      <c r="K189" s="81" t="str">
        <f t="shared" si="7"/>
        <v>OUI</v>
      </c>
      <c r="L189" s="13" t="s">
        <v>165</v>
      </c>
      <c r="M189" s="56" t="s">
        <v>573</v>
      </c>
      <c r="N189" s="38">
        <v>45301</v>
      </c>
      <c r="O189" s="16" t="str">
        <f t="shared" si="6"/>
        <v>OUI</v>
      </c>
    </row>
    <row r="190" spans="1:15" ht="14.4" x14ac:dyDescent="0.3">
      <c r="A190" s="52" t="s">
        <v>17</v>
      </c>
      <c r="B190" s="10" t="s">
        <v>574</v>
      </c>
      <c r="C190" s="13" t="s">
        <v>427</v>
      </c>
      <c r="D190" s="13" t="s">
        <v>575</v>
      </c>
      <c r="E190" s="13" t="s">
        <v>19</v>
      </c>
      <c r="F190" s="54">
        <v>45298.645138888889</v>
      </c>
      <c r="G190" s="13">
        <v>744</v>
      </c>
      <c r="H190" s="13" t="s">
        <v>14</v>
      </c>
      <c r="I190" s="55"/>
      <c r="J190" s="13">
        <v>1073</v>
      </c>
      <c r="K190" s="81" t="str">
        <f t="shared" si="7"/>
        <v/>
      </c>
      <c r="L190" s="13" t="s">
        <v>16</v>
      </c>
      <c r="M190" s="56"/>
      <c r="O190" s="16" t="str">
        <f t="shared" si="6"/>
        <v/>
      </c>
    </row>
    <row r="191" spans="1:15" ht="14.4" x14ac:dyDescent="0.3">
      <c r="A191" s="46" t="s">
        <v>17</v>
      </c>
      <c r="B191" s="10" t="s">
        <v>576</v>
      </c>
      <c r="C191" s="14" t="s">
        <v>577</v>
      </c>
      <c r="D191" t="s">
        <v>578</v>
      </c>
      <c r="E191" s="14" t="s">
        <v>19</v>
      </c>
      <c r="F191" s="48">
        <v>45299.499305555553</v>
      </c>
      <c r="G191" s="14">
        <v>745</v>
      </c>
      <c r="H191" s="14" t="s">
        <v>14</v>
      </c>
      <c r="I191" s="51">
        <v>45308.664942129632</v>
      </c>
      <c r="J191" s="14">
        <v>1074</v>
      </c>
      <c r="K191" s="81" t="str">
        <f t="shared" si="7"/>
        <v>OUI</v>
      </c>
      <c r="L191" s="14" t="s">
        <v>16</v>
      </c>
      <c r="M191" s="50" t="s">
        <v>579</v>
      </c>
      <c r="N191" s="38">
        <v>45301</v>
      </c>
      <c r="O191" s="16" t="str">
        <f t="shared" si="6"/>
        <v>OUI</v>
      </c>
    </row>
    <row r="192" spans="1:15" ht="14.4" x14ac:dyDescent="0.3">
      <c r="A192" s="52" t="s">
        <v>34</v>
      </c>
      <c r="B192" s="53" t="s">
        <v>580</v>
      </c>
      <c r="C192" s="13" t="s">
        <v>581</v>
      </c>
      <c r="D192" t="s">
        <v>582</v>
      </c>
      <c r="E192" s="13" t="s">
        <v>38</v>
      </c>
      <c r="F192" s="54">
        <v>45302.584027777775</v>
      </c>
      <c r="G192" s="13">
        <v>746</v>
      </c>
      <c r="H192" s="13" t="s">
        <v>14</v>
      </c>
      <c r="I192" s="58">
        <v>45330.479074074072</v>
      </c>
      <c r="J192" s="13">
        <v>1079</v>
      </c>
      <c r="K192" s="81" t="str">
        <f t="shared" si="7"/>
        <v>OUI</v>
      </c>
      <c r="L192" s="13" t="s">
        <v>16</v>
      </c>
      <c r="M192" s="56" t="s">
        <v>583</v>
      </c>
      <c r="N192" s="38">
        <v>45307</v>
      </c>
      <c r="O192" s="16" t="str">
        <f t="shared" si="6"/>
        <v>OUI</v>
      </c>
    </row>
    <row r="193" spans="1:15" ht="14.4" x14ac:dyDescent="0.3">
      <c r="A193" s="52" t="s">
        <v>34</v>
      </c>
      <c r="B193" s="53" t="s">
        <v>584</v>
      </c>
      <c r="C193" s="13" t="s">
        <v>585</v>
      </c>
      <c r="D193" s="1" t="s">
        <v>586</v>
      </c>
      <c r="E193" s="13" t="s">
        <v>38</v>
      </c>
      <c r="F193" s="54">
        <v>45302.679166666669</v>
      </c>
      <c r="G193" s="13">
        <v>747</v>
      </c>
      <c r="H193" s="13" t="s">
        <v>14</v>
      </c>
      <c r="I193" s="55"/>
      <c r="J193" s="13">
        <v>1083</v>
      </c>
      <c r="K193" s="81" t="str">
        <f t="shared" si="7"/>
        <v/>
      </c>
      <c r="L193" s="13" t="s">
        <v>16</v>
      </c>
      <c r="M193" s="56"/>
      <c r="O193" s="16" t="str">
        <f t="shared" si="6"/>
        <v/>
      </c>
    </row>
    <row r="194" spans="1:15" ht="14.4" x14ac:dyDescent="0.3">
      <c r="A194" s="52" t="s">
        <v>209</v>
      </c>
      <c r="B194" s="53" t="s">
        <v>587</v>
      </c>
      <c r="C194" s="13" t="s">
        <v>497</v>
      </c>
      <c r="D194" s="63" t="s">
        <v>588</v>
      </c>
      <c r="E194" s="13" t="s">
        <v>57</v>
      </c>
      <c r="F194" s="54">
        <v>45303.464583333334</v>
      </c>
      <c r="G194" s="13">
        <v>1085</v>
      </c>
      <c r="H194" s="13" t="s">
        <v>14</v>
      </c>
      <c r="I194" s="58">
        <v>45308.646527777775</v>
      </c>
      <c r="J194" s="13">
        <v>1085</v>
      </c>
      <c r="K194" s="81" t="str">
        <f t="shared" si="7"/>
        <v>OUI</v>
      </c>
      <c r="L194" s="13" t="s">
        <v>16</v>
      </c>
      <c r="M194" s="56" t="s">
        <v>589</v>
      </c>
      <c r="N194" s="38">
        <v>45308</v>
      </c>
      <c r="O194" s="16" t="str">
        <f t="shared" ref="O194:O215" si="8">IF(AND(ISBLANK(I194), ISBLANK(N194)), "", "OUI")</f>
        <v>OUI</v>
      </c>
    </row>
    <row r="195" spans="1:15" ht="14.4" x14ac:dyDescent="0.3">
      <c r="A195" s="46" t="s">
        <v>34</v>
      </c>
      <c r="B195" s="10" t="s">
        <v>580</v>
      </c>
      <c r="C195" s="14" t="s">
        <v>581</v>
      </c>
      <c r="D195" s="14" t="s">
        <v>582</v>
      </c>
      <c r="E195" s="14" t="s">
        <v>38</v>
      </c>
      <c r="F195" s="48">
        <v>45303.484722222223</v>
      </c>
      <c r="G195" s="14">
        <v>0</v>
      </c>
      <c r="H195" s="14" t="s">
        <v>24</v>
      </c>
      <c r="I195" s="49"/>
      <c r="J195" s="14">
        <v>1087</v>
      </c>
      <c r="K195" s="81" t="str">
        <f t="shared" si="7"/>
        <v/>
      </c>
      <c r="L195" s="14" t="s">
        <v>16</v>
      </c>
      <c r="M195" s="50"/>
      <c r="O195" s="16" t="str">
        <f t="shared" si="8"/>
        <v/>
      </c>
    </row>
    <row r="196" spans="1:15" ht="14.4" x14ac:dyDescent="0.3">
      <c r="A196" s="52" t="s">
        <v>17</v>
      </c>
      <c r="B196" s="10" t="s">
        <v>590</v>
      </c>
      <c r="C196" s="1" t="s">
        <v>538</v>
      </c>
      <c r="D196" s="13" t="s">
        <v>591</v>
      </c>
      <c r="E196" s="13" t="s">
        <v>19</v>
      </c>
      <c r="F196" s="54">
        <v>45303.529861111114</v>
      </c>
      <c r="G196" s="13">
        <v>1086</v>
      </c>
      <c r="H196" s="13" t="s">
        <v>14</v>
      </c>
      <c r="I196" s="58">
        <v>45306.687152777777</v>
      </c>
      <c r="J196" s="13">
        <v>1088</v>
      </c>
      <c r="K196" s="81" t="str">
        <f t="shared" si="7"/>
        <v>OUI</v>
      </c>
      <c r="L196" s="13" t="s">
        <v>16</v>
      </c>
      <c r="M196" s="56" t="s">
        <v>592</v>
      </c>
      <c r="N196" s="85">
        <v>45280</v>
      </c>
      <c r="O196" s="16" t="str">
        <f t="shared" si="8"/>
        <v>OUI</v>
      </c>
    </row>
    <row r="197" spans="1:15" ht="14.4" x14ac:dyDescent="0.3">
      <c r="A197" s="46" t="s">
        <v>17</v>
      </c>
      <c r="B197" s="10" t="s">
        <v>593</v>
      </c>
      <c r="C197" s="1" t="s">
        <v>594</v>
      </c>
      <c r="D197" s="14" t="s">
        <v>595</v>
      </c>
      <c r="E197" s="14" t="s">
        <v>19</v>
      </c>
      <c r="F197" s="48">
        <v>45304.913194444445</v>
      </c>
      <c r="G197" s="14">
        <v>1087</v>
      </c>
      <c r="H197" s="14" t="s">
        <v>14</v>
      </c>
      <c r="I197" s="49"/>
      <c r="J197" s="14">
        <v>1089</v>
      </c>
      <c r="K197" s="81" t="str">
        <f t="shared" si="7"/>
        <v/>
      </c>
      <c r="L197" s="14" t="s">
        <v>16</v>
      </c>
      <c r="M197" s="50"/>
      <c r="O197" s="16" t="str">
        <f t="shared" si="8"/>
        <v/>
      </c>
    </row>
    <row r="198" spans="1:15" ht="14.4" x14ac:dyDescent="0.3">
      <c r="A198" s="46" t="s">
        <v>212</v>
      </c>
      <c r="B198" s="47" t="s">
        <v>596</v>
      </c>
      <c r="C198" s="14" t="s">
        <v>597</v>
      </c>
      <c r="D198" s="1" t="s">
        <v>598</v>
      </c>
      <c r="E198" s="14" t="s">
        <v>27</v>
      </c>
      <c r="F198" s="48">
        <v>45306.477777777778</v>
      </c>
      <c r="G198" s="14">
        <v>0</v>
      </c>
      <c r="H198" s="14" t="s">
        <v>24</v>
      </c>
      <c r="I198" s="49"/>
      <c r="J198" s="14">
        <v>1090</v>
      </c>
      <c r="K198" s="81" t="str">
        <f t="shared" si="7"/>
        <v/>
      </c>
      <c r="L198" s="14" t="s">
        <v>16</v>
      </c>
      <c r="M198" s="50"/>
      <c r="O198" s="16" t="str">
        <f t="shared" si="8"/>
        <v/>
      </c>
    </row>
    <row r="199" spans="1:15" ht="14.4" x14ac:dyDescent="0.3">
      <c r="A199" s="52" t="s">
        <v>99</v>
      </c>
      <c r="B199" s="10" t="s">
        <v>599</v>
      </c>
      <c r="C199" s="1" t="s">
        <v>572</v>
      </c>
      <c r="D199" t="s">
        <v>600</v>
      </c>
      <c r="E199" s="13" t="s">
        <v>13</v>
      </c>
      <c r="F199" s="54">
        <v>45312.498611111114</v>
      </c>
      <c r="G199" s="13">
        <v>0</v>
      </c>
      <c r="H199" s="13" t="s">
        <v>24</v>
      </c>
      <c r="I199" s="55"/>
      <c r="J199" s="13">
        <v>1091</v>
      </c>
      <c r="K199" s="81" t="str">
        <f t="shared" si="7"/>
        <v/>
      </c>
      <c r="L199" s="13" t="s">
        <v>16</v>
      </c>
      <c r="M199" s="56"/>
      <c r="O199" s="16" t="str">
        <f t="shared" si="8"/>
        <v/>
      </c>
    </row>
    <row r="200" spans="1:15" ht="14.4" x14ac:dyDescent="0.3">
      <c r="A200" s="46" t="s">
        <v>34</v>
      </c>
      <c r="B200" s="47" t="s">
        <v>601</v>
      </c>
      <c r="C200" s="14" t="s">
        <v>259</v>
      </c>
      <c r="D200" s="1" t="s">
        <v>602</v>
      </c>
      <c r="E200" s="14" t="s">
        <v>38</v>
      </c>
      <c r="F200" s="48">
        <v>45315.54583333333</v>
      </c>
      <c r="G200" s="14">
        <v>1088</v>
      </c>
      <c r="H200" s="14" t="s">
        <v>14</v>
      </c>
      <c r="I200" s="51">
        <v>45499.479641203703</v>
      </c>
      <c r="J200" s="14">
        <v>1093</v>
      </c>
      <c r="K200" s="81" t="str">
        <f t="shared" si="7"/>
        <v>OUI</v>
      </c>
      <c r="L200" s="14" t="s">
        <v>16</v>
      </c>
      <c r="M200" s="50" t="s">
        <v>603</v>
      </c>
      <c r="N200" s="38">
        <v>45386</v>
      </c>
      <c r="O200" s="16" t="str">
        <f t="shared" si="8"/>
        <v>OUI</v>
      </c>
    </row>
    <row r="201" spans="1:15" ht="14.4" x14ac:dyDescent="0.3">
      <c r="A201" s="46" t="s">
        <v>34</v>
      </c>
      <c r="B201" s="47" t="s">
        <v>604</v>
      </c>
      <c r="C201" s="14" t="s">
        <v>26</v>
      </c>
      <c r="D201" t="s">
        <v>605</v>
      </c>
      <c r="E201" s="14" t="s">
        <v>38</v>
      </c>
      <c r="F201" s="48">
        <v>45320.416666666664</v>
      </c>
      <c r="G201" s="14">
        <v>1090</v>
      </c>
      <c r="H201" s="14" t="s">
        <v>14</v>
      </c>
      <c r="I201" s="51">
        <v>45441.512858796297</v>
      </c>
      <c r="J201" s="14">
        <v>1097</v>
      </c>
      <c r="K201" s="81" t="str">
        <f t="shared" si="7"/>
        <v>OUI</v>
      </c>
      <c r="L201" s="14" t="s">
        <v>16</v>
      </c>
      <c r="M201" s="50" t="s">
        <v>606</v>
      </c>
      <c r="N201" s="38">
        <v>45393</v>
      </c>
      <c r="O201" s="16" t="str">
        <f t="shared" si="8"/>
        <v>OUI</v>
      </c>
    </row>
    <row r="202" spans="1:15" ht="14.4" x14ac:dyDescent="0.3">
      <c r="A202" s="67" t="s">
        <v>17</v>
      </c>
      <c r="B202" s="10" t="s">
        <v>607</v>
      </c>
      <c r="C202" s="68" t="s">
        <v>294</v>
      </c>
      <c r="D202" s="68" t="s">
        <v>608</v>
      </c>
      <c r="E202" s="68" t="s">
        <v>19</v>
      </c>
      <c r="F202" s="69">
        <v>45348.411111111112</v>
      </c>
      <c r="G202" s="68">
        <v>1092</v>
      </c>
      <c r="H202" s="68" t="s">
        <v>14</v>
      </c>
      <c r="I202" s="70"/>
      <c r="J202" s="68">
        <v>1122</v>
      </c>
      <c r="K202" s="81" t="str">
        <f t="shared" si="7"/>
        <v/>
      </c>
      <c r="L202" s="68" t="s">
        <v>16</v>
      </c>
      <c r="M202" s="71"/>
      <c r="O202" s="16" t="str">
        <f t="shared" si="8"/>
        <v/>
      </c>
    </row>
    <row r="203" spans="1:15" ht="14.4" x14ac:dyDescent="0.3">
      <c r="A203" s="67" t="s">
        <v>34</v>
      </c>
      <c r="B203" s="91" t="s">
        <v>609</v>
      </c>
      <c r="C203" s="68" t="s">
        <v>172</v>
      </c>
      <c r="D203" s="68" t="s">
        <v>610</v>
      </c>
      <c r="E203" s="68" t="s">
        <v>38</v>
      </c>
      <c r="F203" s="69">
        <v>45349.640972222223</v>
      </c>
      <c r="G203" s="68">
        <v>1094</v>
      </c>
      <c r="H203" s="68" t="s">
        <v>14</v>
      </c>
      <c r="I203" s="70"/>
      <c r="J203" s="68">
        <v>1123</v>
      </c>
      <c r="K203" s="81" t="str">
        <f t="shared" si="7"/>
        <v/>
      </c>
      <c r="L203" s="68" t="s">
        <v>16</v>
      </c>
      <c r="M203" s="71"/>
      <c r="O203" s="16" t="str">
        <f t="shared" si="8"/>
        <v/>
      </c>
    </row>
    <row r="204" spans="1:15" ht="14.4" x14ac:dyDescent="0.3">
      <c r="A204" s="67" t="s">
        <v>34</v>
      </c>
      <c r="B204" s="91" t="s">
        <v>611</v>
      </c>
      <c r="C204" s="68" t="s">
        <v>88</v>
      </c>
      <c r="D204" s="68" t="s">
        <v>612</v>
      </c>
      <c r="E204" s="68" t="s">
        <v>38</v>
      </c>
      <c r="F204" s="69">
        <v>45350.726388888892</v>
      </c>
      <c r="G204" s="68">
        <v>1096</v>
      </c>
      <c r="H204" s="68" t="s">
        <v>14</v>
      </c>
      <c r="I204" s="70"/>
      <c r="J204" s="68">
        <v>1126</v>
      </c>
      <c r="K204" s="81" t="str">
        <f t="shared" si="7"/>
        <v/>
      </c>
      <c r="L204" s="68" t="s">
        <v>16</v>
      </c>
      <c r="M204" s="71"/>
      <c r="O204" s="16" t="str">
        <f t="shared" si="8"/>
        <v/>
      </c>
    </row>
    <row r="205" spans="1:15" ht="14.4" x14ac:dyDescent="0.3">
      <c r="A205" s="67" t="s">
        <v>17</v>
      </c>
      <c r="B205" s="10" t="s">
        <v>613</v>
      </c>
      <c r="C205" s="1" t="s">
        <v>172</v>
      </c>
      <c r="D205" s="68" t="s">
        <v>614</v>
      </c>
      <c r="E205" s="68" t="s">
        <v>19</v>
      </c>
      <c r="F205" s="69">
        <v>45352.756249999999</v>
      </c>
      <c r="G205" s="68">
        <v>1098</v>
      </c>
      <c r="H205" s="68" t="s">
        <v>14</v>
      </c>
      <c r="I205" s="70"/>
      <c r="J205" s="68">
        <v>1129</v>
      </c>
      <c r="K205" s="81" t="str">
        <f t="shared" si="7"/>
        <v/>
      </c>
      <c r="L205" s="68" t="s">
        <v>16</v>
      </c>
      <c r="M205" s="71"/>
      <c r="O205" s="16" t="str">
        <f t="shared" si="8"/>
        <v/>
      </c>
    </row>
    <row r="206" spans="1:15" ht="14.4" x14ac:dyDescent="0.3">
      <c r="A206" s="67" t="s">
        <v>17</v>
      </c>
      <c r="B206" s="10" t="s">
        <v>615</v>
      </c>
      <c r="C206" s="68" t="s">
        <v>172</v>
      </c>
      <c r="D206" s="1" t="s">
        <v>616</v>
      </c>
      <c r="E206" s="68" t="s">
        <v>19</v>
      </c>
      <c r="F206" s="69">
        <v>45354.845138888886</v>
      </c>
      <c r="G206" s="68">
        <v>1100</v>
      </c>
      <c r="H206" s="68" t="s">
        <v>14</v>
      </c>
      <c r="I206" s="70"/>
      <c r="J206" s="68">
        <v>1130</v>
      </c>
      <c r="K206" s="81" t="str">
        <f t="shared" si="7"/>
        <v/>
      </c>
      <c r="L206" s="68" t="s">
        <v>16</v>
      </c>
      <c r="M206" s="71"/>
      <c r="O206" s="16" t="str">
        <f t="shared" si="8"/>
        <v/>
      </c>
    </row>
    <row r="207" spans="1:15" ht="14.4" x14ac:dyDescent="0.3">
      <c r="A207" s="67" t="s">
        <v>17</v>
      </c>
      <c r="B207" s="10" t="s">
        <v>617</v>
      </c>
      <c r="C207" s="1" t="s">
        <v>398</v>
      </c>
      <c r="D207" s="84" t="s">
        <v>618</v>
      </c>
      <c r="E207" s="68" t="s">
        <v>19</v>
      </c>
      <c r="F207" s="69">
        <v>45355.40347222222</v>
      </c>
      <c r="G207" s="68">
        <v>1102</v>
      </c>
      <c r="H207" s="68" t="s">
        <v>14</v>
      </c>
      <c r="I207" s="79">
        <v>45384.452662037038</v>
      </c>
      <c r="J207" s="68">
        <v>1132</v>
      </c>
      <c r="K207" s="81" t="str">
        <f t="shared" si="7"/>
        <v>OUI</v>
      </c>
      <c r="L207" s="68" t="s">
        <v>16</v>
      </c>
      <c r="M207" s="71" t="s">
        <v>619</v>
      </c>
      <c r="N207" s="38">
        <v>45385</v>
      </c>
      <c r="O207" s="16" t="str">
        <f t="shared" si="8"/>
        <v>OUI</v>
      </c>
    </row>
    <row r="208" spans="1:15" ht="14.4" x14ac:dyDescent="0.3">
      <c r="A208" s="72" t="s">
        <v>10</v>
      </c>
      <c r="B208" s="10" t="s">
        <v>620</v>
      </c>
      <c r="C208" s="73" t="s">
        <v>398</v>
      </c>
      <c r="D208" s="73" t="s">
        <v>621</v>
      </c>
      <c r="E208" s="73" t="s">
        <v>13</v>
      </c>
      <c r="F208" s="74">
        <v>45355.498611111114</v>
      </c>
      <c r="G208" s="73">
        <v>1104</v>
      </c>
      <c r="H208" s="73" t="s">
        <v>14</v>
      </c>
      <c r="I208" s="75"/>
      <c r="J208" s="73">
        <v>1133</v>
      </c>
      <c r="K208" s="81" t="str">
        <f t="shared" si="7"/>
        <v/>
      </c>
      <c r="L208" s="73" t="s">
        <v>16</v>
      </c>
      <c r="M208" s="76"/>
      <c r="O208" s="16" t="str">
        <f t="shared" si="8"/>
        <v/>
      </c>
    </row>
    <row r="209" spans="1:15" ht="14.4" x14ac:dyDescent="0.3">
      <c r="A209" s="67" t="s">
        <v>34</v>
      </c>
      <c r="B209" s="91" t="s">
        <v>622</v>
      </c>
      <c r="C209" s="68" t="s">
        <v>144</v>
      </c>
      <c r="D209" s="68" t="s">
        <v>623</v>
      </c>
      <c r="E209" s="68" t="s">
        <v>38</v>
      </c>
      <c r="F209" s="69">
        <v>45355.805555555555</v>
      </c>
      <c r="G209" s="68">
        <v>1106</v>
      </c>
      <c r="H209" s="68" t="s">
        <v>14</v>
      </c>
      <c r="I209" s="70"/>
      <c r="J209" s="68">
        <v>1134</v>
      </c>
      <c r="K209" s="81" t="str">
        <f t="shared" si="7"/>
        <v/>
      </c>
      <c r="L209" s="68" t="s">
        <v>16</v>
      </c>
      <c r="M209" s="71"/>
      <c r="O209" s="16" t="str">
        <f t="shared" si="8"/>
        <v/>
      </c>
    </row>
    <row r="210" spans="1:15" ht="14.4" x14ac:dyDescent="0.3">
      <c r="A210" s="67" t="s">
        <v>34</v>
      </c>
      <c r="B210" s="91" t="s">
        <v>466</v>
      </c>
      <c r="C210" s="68" t="s">
        <v>264</v>
      </c>
      <c r="D210" t="s">
        <v>624</v>
      </c>
      <c r="E210" s="68" t="s">
        <v>38</v>
      </c>
      <c r="F210" s="69">
        <v>45356.30972222222</v>
      </c>
      <c r="G210" s="68">
        <v>1138</v>
      </c>
      <c r="H210" s="68" t="s">
        <v>14</v>
      </c>
      <c r="I210" s="79">
        <v>45380.378263888888</v>
      </c>
      <c r="J210" s="68">
        <v>1138</v>
      </c>
      <c r="K210" s="81" t="str">
        <f t="shared" si="7"/>
        <v>OUI</v>
      </c>
      <c r="L210" s="68" t="s">
        <v>16</v>
      </c>
      <c r="M210" s="71" t="s">
        <v>625</v>
      </c>
      <c r="N210" s="38">
        <v>45370</v>
      </c>
      <c r="O210" s="16" t="str">
        <f t="shared" si="8"/>
        <v>OUI</v>
      </c>
    </row>
    <row r="211" spans="1:15" ht="14.4" x14ac:dyDescent="0.3">
      <c r="A211" s="67" t="s">
        <v>17</v>
      </c>
      <c r="B211" s="91" t="s">
        <v>626</v>
      </c>
      <c r="C211" s="68" t="s">
        <v>172</v>
      </c>
      <c r="D211" s="68" t="s">
        <v>627</v>
      </c>
      <c r="E211" s="68" t="s">
        <v>19</v>
      </c>
      <c r="F211" s="69">
        <v>45356.48541666667</v>
      </c>
      <c r="G211" s="68">
        <v>1108</v>
      </c>
      <c r="H211" s="68" t="s">
        <v>14</v>
      </c>
      <c r="I211" s="70"/>
      <c r="J211" s="68">
        <v>1139</v>
      </c>
      <c r="K211" s="81" t="str">
        <f t="shared" si="7"/>
        <v/>
      </c>
      <c r="L211" s="68" t="s">
        <v>16</v>
      </c>
      <c r="M211" s="71"/>
      <c r="O211" s="16" t="str">
        <f t="shared" si="8"/>
        <v/>
      </c>
    </row>
    <row r="212" spans="1:15" ht="14.4" x14ac:dyDescent="0.3">
      <c r="A212" s="67" t="s">
        <v>17</v>
      </c>
      <c r="B212" s="91" t="s">
        <v>628</v>
      </c>
      <c r="C212" s="68" t="s">
        <v>629</v>
      </c>
      <c r="D212" s="68" t="s">
        <v>630</v>
      </c>
      <c r="E212" s="68" t="s">
        <v>19</v>
      </c>
      <c r="F212" s="69">
        <v>45359.724999999999</v>
      </c>
      <c r="G212" s="68">
        <v>1110</v>
      </c>
      <c r="H212" s="68" t="s">
        <v>14</v>
      </c>
      <c r="I212" s="70"/>
      <c r="J212" s="68">
        <v>1140</v>
      </c>
      <c r="K212" s="81" t="str">
        <f t="shared" si="7"/>
        <v/>
      </c>
      <c r="L212" s="68" t="s">
        <v>16</v>
      </c>
      <c r="M212" s="71"/>
      <c r="O212" s="16" t="str">
        <f t="shared" si="8"/>
        <v/>
      </c>
    </row>
    <row r="213" spans="1:15" ht="14.4" x14ac:dyDescent="0.3">
      <c r="A213" s="67" t="s">
        <v>17</v>
      </c>
      <c r="B213" s="91" t="s">
        <v>631</v>
      </c>
      <c r="C213" s="68" t="s">
        <v>632</v>
      </c>
      <c r="D213" s="68" t="s">
        <v>633</v>
      </c>
      <c r="E213" s="68" t="s">
        <v>19</v>
      </c>
      <c r="F213" s="69">
        <v>45360.632638888892</v>
      </c>
      <c r="G213" s="68">
        <v>1112</v>
      </c>
      <c r="H213" s="68" t="s">
        <v>14</v>
      </c>
      <c r="I213" s="70"/>
      <c r="J213" s="68">
        <v>1141</v>
      </c>
      <c r="K213" s="81" t="str">
        <f t="shared" si="7"/>
        <v/>
      </c>
      <c r="L213" s="68" t="s">
        <v>16</v>
      </c>
      <c r="M213" s="71"/>
      <c r="O213" s="16" t="str">
        <f t="shared" si="8"/>
        <v/>
      </c>
    </row>
    <row r="214" spans="1:15" ht="14.4" x14ac:dyDescent="0.3">
      <c r="A214" s="72" t="s">
        <v>17</v>
      </c>
      <c r="B214" s="90" t="s">
        <v>634</v>
      </c>
      <c r="C214" s="73" t="s">
        <v>93</v>
      </c>
      <c r="D214" s="73" t="s">
        <v>635</v>
      </c>
      <c r="E214" s="73" t="s">
        <v>19</v>
      </c>
      <c r="F214" s="74">
        <v>45361.76666666667</v>
      </c>
      <c r="G214" s="73">
        <v>1114</v>
      </c>
      <c r="H214" s="73" t="s">
        <v>14</v>
      </c>
      <c r="I214" s="75"/>
      <c r="J214" s="73">
        <v>1142</v>
      </c>
      <c r="K214" s="81" t="str">
        <f t="shared" si="7"/>
        <v/>
      </c>
      <c r="L214" s="73" t="s">
        <v>16</v>
      </c>
      <c r="M214" s="76"/>
      <c r="O214" s="16" t="str">
        <f t="shared" si="8"/>
        <v/>
      </c>
    </row>
    <row r="215" spans="1:15" ht="14.4" x14ac:dyDescent="0.3">
      <c r="A215" s="72" t="s">
        <v>17</v>
      </c>
      <c r="B215" s="10" t="s">
        <v>576</v>
      </c>
      <c r="C215" s="73" t="s">
        <v>636</v>
      </c>
      <c r="D215" s="73" t="s">
        <v>637</v>
      </c>
      <c r="E215" s="73" t="s">
        <v>19</v>
      </c>
      <c r="F215" s="74">
        <v>45365.445138888892</v>
      </c>
      <c r="G215" s="73">
        <v>1140</v>
      </c>
      <c r="H215" s="73" t="s">
        <v>14</v>
      </c>
      <c r="I215" s="75"/>
      <c r="J215" s="73">
        <v>1148</v>
      </c>
      <c r="K215" s="81" t="str">
        <f t="shared" si="7"/>
        <v/>
      </c>
      <c r="L215" s="73" t="s">
        <v>16</v>
      </c>
      <c r="M215" s="76"/>
      <c r="O215" s="16" t="str">
        <f t="shared" si="8"/>
        <v/>
      </c>
    </row>
    <row r="216" spans="1:15" ht="14.4" x14ac:dyDescent="0.3">
      <c r="A216" s="72" t="s">
        <v>34</v>
      </c>
      <c r="B216" s="10" t="s">
        <v>638</v>
      </c>
      <c r="C216" s="73" t="s">
        <v>93</v>
      </c>
      <c r="D216" s="73" t="s">
        <v>639</v>
      </c>
      <c r="E216" s="73" t="s">
        <v>38</v>
      </c>
      <c r="F216" s="74">
        <v>45376.431250000001</v>
      </c>
      <c r="G216" s="73">
        <v>1142</v>
      </c>
      <c r="H216" s="73" t="s">
        <v>14</v>
      </c>
      <c r="I216" s="75"/>
      <c r="J216" s="73">
        <v>1149</v>
      </c>
      <c r="K216" s="81" t="str">
        <f t="shared" si="7"/>
        <v/>
      </c>
      <c r="L216" s="73" t="s">
        <v>16</v>
      </c>
      <c r="M216" s="76"/>
      <c r="O216" s="16"/>
    </row>
    <row r="217" spans="1:15" ht="14.4" x14ac:dyDescent="0.3">
      <c r="A217" s="67" t="s">
        <v>17</v>
      </c>
      <c r="B217" s="10" t="s">
        <v>640</v>
      </c>
      <c r="C217" s="1" t="s">
        <v>629</v>
      </c>
      <c r="D217" s="68" t="s">
        <v>641</v>
      </c>
      <c r="E217" s="68" t="s">
        <v>19</v>
      </c>
      <c r="F217" s="69">
        <v>45377.054861111108</v>
      </c>
      <c r="G217" s="68">
        <v>1144</v>
      </c>
      <c r="H217" s="68" t="s">
        <v>14</v>
      </c>
      <c r="I217" s="70"/>
      <c r="J217" s="68">
        <v>1150</v>
      </c>
      <c r="K217" s="81" t="str">
        <f t="shared" si="7"/>
        <v/>
      </c>
      <c r="L217" s="68" t="s">
        <v>16</v>
      </c>
      <c r="M217" s="71"/>
      <c r="O217" s="16" t="str">
        <f t="shared" ref="O217:O248" si="9">IF(AND(ISBLANK(I217), ISBLANK(N217)), "", "OUI")</f>
        <v/>
      </c>
    </row>
    <row r="218" spans="1:15" ht="14.4" x14ac:dyDescent="0.3">
      <c r="A218" s="72" t="s">
        <v>17</v>
      </c>
      <c r="B218" s="10" t="s">
        <v>640</v>
      </c>
      <c r="C218" s="1" t="s">
        <v>629</v>
      </c>
      <c r="D218" s="73" t="s">
        <v>642</v>
      </c>
      <c r="E218" s="73" t="s">
        <v>19</v>
      </c>
      <c r="F218" s="74">
        <v>45377.057638888888</v>
      </c>
      <c r="G218" s="73">
        <v>1146</v>
      </c>
      <c r="H218" s="73" t="s">
        <v>14</v>
      </c>
      <c r="I218" s="75"/>
      <c r="J218" s="73">
        <v>1151</v>
      </c>
      <c r="K218" s="81" t="str">
        <f t="shared" si="7"/>
        <v/>
      </c>
      <c r="L218" s="73" t="s">
        <v>16</v>
      </c>
      <c r="M218" s="76"/>
      <c r="O218" s="16" t="str">
        <f t="shared" si="9"/>
        <v/>
      </c>
    </row>
    <row r="219" spans="1:15" ht="14.4" x14ac:dyDescent="0.3">
      <c r="A219" s="72" t="s">
        <v>34</v>
      </c>
      <c r="B219" s="90" t="s">
        <v>643</v>
      </c>
      <c r="C219" s="73" t="s">
        <v>26</v>
      </c>
      <c r="D219" s="73" t="s">
        <v>644</v>
      </c>
      <c r="E219" s="73" t="s">
        <v>38</v>
      </c>
      <c r="F219" s="74">
        <v>45377.927083333336</v>
      </c>
      <c r="G219" s="73">
        <v>1148</v>
      </c>
      <c r="H219" s="73" t="s">
        <v>14</v>
      </c>
      <c r="I219" s="75"/>
      <c r="J219" s="73">
        <v>1152</v>
      </c>
      <c r="K219" s="81" t="str">
        <f t="shared" si="7"/>
        <v/>
      </c>
      <c r="L219" s="73" t="s">
        <v>16</v>
      </c>
      <c r="M219" s="76"/>
      <c r="O219" s="16" t="str">
        <f t="shared" si="9"/>
        <v/>
      </c>
    </row>
    <row r="220" spans="1:15" ht="14.4" x14ac:dyDescent="0.3">
      <c r="A220" s="72" t="s">
        <v>17</v>
      </c>
      <c r="B220" s="10" t="s">
        <v>645</v>
      </c>
      <c r="C220" s="73" t="s">
        <v>93</v>
      </c>
      <c r="D220" s="73" t="s">
        <v>646</v>
      </c>
      <c r="E220" s="73" t="s">
        <v>19</v>
      </c>
      <c r="F220" s="74">
        <v>45378.40902777778</v>
      </c>
      <c r="G220" s="73">
        <v>1150</v>
      </c>
      <c r="H220" s="73" t="s">
        <v>14</v>
      </c>
      <c r="I220" s="75"/>
      <c r="J220" s="73">
        <v>1153</v>
      </c>
      <c r="K220" s="81" t="str">
        <f t="shared" si="7"/>
        <v/>
      </c>
      <c r="L220" s="73" t="s">
        <v>16</v>
      </c>
      <c r="M220" s="76"/>
      <c r="O220" s="16" t="str">
        <f t="shared" si="9"/>
        <v/>
      </c>
    </row>
    <row r="221" spans="1:15" ht="14.4" x14ac:dyDescent="0.3">
      <c r="A221" s="67" t="s">
        <v>34</v>
      </c>
      <c r="B221" s="91" t="s">
        <v>647</v>
      </c>
      <c r="C221" s="68" t="s">
        <v>320</v>
      </c>
      <c r="D221" s="68" t="s">
        <v>648</v>
      </c>
      <c r="E221" s="68" t="s">
        <v>38</v>
      </c>
      <c r="F221" s="69">
        <v>45378.427777777775</v>
      </c>
      <c r="G221" s="68">
        <v>1154</v>
      </c>
      <c r="H221" s="68" t="s">
        <v>14</v>
      </c>
      <c r="I221" s="70"/>
      <c r="J221" s="68">
        <v>1154</v>
      </c>
      <c r="K221" s="81" t="str">
        <f t="shared" si="7"/>
        <v/>
      </c>
      <c r="L221" s="68" t="s">
        <v>16</v>
      </c>
      <c r="M221" s="71"/>
      <c r="O221" s="16" t="str">
        <f t="shared" si="9"/>
        <v/>
      </c>
    </row>
    <row r="222" spans="1:15" ht="14.4" x14ac:dyDescent="0.3">
      <c r="A222" s="72" t="s">
        <v>34</v>
      </c>
      <c r="B222" s="90" t="s">
        <v>649</v>
      </c>
      <c r="C222" s="73" t="s">
        <v>26</v>
      </c>
      <c r="D222" s="73" t="s">
        <v>650</v>
      </c>
      <c r="E222" s="73" t="s">
        <v>38</v>
      </c>
      <c r="F222" s="74">
        <v>45378.95208333333</v>
      </c>
      <c r="G222" s="73">
        <v>1155</v>
      </c>
      <c r="H222" s="73" t="s">
        <v>24</v>
      </c>
      <c r="I222" s="80">
        <v>45387.391423611109</v>
      </c>
      <c r="J222" s="73">
        <v>1155</v>
      </c>
      <c r="K222" s="81" t="str">
        <f t="shared" si="7"/>
        <v>OUI</v>
      </c>
      <c r="L222" s="73" t="s">
        <v>16</v>
      </c>
      <c r="M222" s="76" t="s">
        <v>651</v>
      </c>
      <c r="N222" s="38">
        <v>45391</v>
      </c>
      <c r="O222" s="16" t="str">
        <f t="shared" si="9"/>
        <v>OUI</v>
      </c>
    </row>
    <row r="223" spans="1:15" ht="14.4" x14ac:dyDescent="0.3">
      <c r="A223" s="72" t="s">
        <v>17</v>
      </c>
      <c r="B223" s="10" t="s">
        <v>652</v>
      </c>
      <c r="C223" s="1" t="s">
        <v>538</v>
      </c>
      <c r="D223" s="73" t="s">
        <v>653</v>
      </c>
      <c r="E223" s="73" t="s">
        <v>19</v>
      </c>
      <c r="F223" s="74">
        <v>45379.768750000003</v>
      </c>
      <c r="G223" s="73">
        <v>1152</v>
      </c>
      <c r="H223" s="73" t="s">
        <v>14</v>
      </c>
      <c r="I223" s="75"/>
      <c r="J223" s="73">
        <v>1156</v>
      </c>
      <c r="K223" s="81" t="str">
        <f t="shared" si="7"/>
        <v/>
      </c>
      <c r="L223" s="73" t="s">
        <v>16</v>
      </c>
      <c r="M223" s="76"/>
      <c r="O223" s="16" t="str">
        <f t="shared" si="9"/>
        <v/>
      </c>
    </row>
    <row r="224" spans="1:15" ht="14.4" x14ac:dyDescent="0.3">
      <c r="A224" s="72" t="s">
        <v>17</v>
      </c>
      <c r="B224" s="10" t="s">
        <v>654</v>
      </c>
      <c r="C224" s="1" t="s">
        <v>655</v>
      </c>
      <c r="D224" s="73" t="s">
        <v>656</v>
      </c>
      <c r="E224" s="73" t="s">
        <v>19</v>
      </c>
      <c r="F224" s="74">
        <v>45383.413194444445</v>
      </c>
      <c r="G224" s="73">
        <v>1154</v>
      </c>
      <c r="H224" s="73" t="s">
        <v>14</v>
      </c>
      <c r="I224" s="75"/>
      <c r="J224" s="73">
        <v>1157</v>
      </c>
      <c r="K224" s="81" t="str">
        <f t="shared" si="7"/>
        <v/>
      </c>
      <c r="L224" s="73" t="s">
        <v>16</v>
      </c>
      <c r="M224" s="76"/>
      <c r="O224" s="16" t="str">
        <f t="shared" si="9"/>
        <v/>
      </c>
    </row>
    <row r="225" spans="1:15" ht="14.4" x14ac:dyDescent="0.3">
      <c r="A225" s="67" t="s">
        <v>17</v>
      </c>
      <c r="B225" s="10" t="s">
        <v>657</v>
      </c>
      <c r="C225" s="1" t="s">
        <v>658</v>
      </c>
      <c r="D225" s="68" t="s">
        <v>659</v>
      </c>
      <c r="E225" s="68" t="s">
        <v>19</v>
      </c>
      <c r="F225" s="69">
        <v>45393.379166666666</v>
      </c>
      <c r="G225" s="68">
        <v>1157</v>
      </c>
      <c r="H225" s="68" t="s">
        <v>14</v>
      </c>
      <c r="I225" s="70"/>
      <c r="J225" s="68">
        <v>1173</v>
      </c>
      <c r="K225" s="81" t="str">
        <f t="shared" si="7"/>
        <v/>
      </c>
      <c r="L225" s="68" t="s">
        <v>16</v>
      </c>
      <c r="M225" s="71"/>
      <c r="O225" s="16" t="str">
        <f t="shared" si="9"/>
        <v/>
      </c>
    </row>
    <row r="226" spans="1:15" ht="14.4" x14ac:dyDescent="0.3">
      <c r="A226" s="72" t="s">
        <v>17</v>
      </c>
      <c r="B226" s="10" t="s">
        <v>660</v>
      </c>
      <c r="C226" s="73" t="s">
        <v>658</v>
      </c>
      <c r="D226" s="73" t="s">
        <v>661</v>
      </c>
      <c r="E226" s="73" t="s">
        <v>19</v>
      </c>
      <c r="F226" s="74">
        <v>45393.383333333331</v>
      </c>
      <c r="G226" s="73">
        <v>1159</v>
      </c>
      <c r="H226" s="73" t="s">
        <v>14</v>
      </c>
      <c r="I226" s="75"/>
      <c r="J226" s="73">
        <v>1174</v>
      </c>
      <c r="K226" s="81" t="str">
        <f t="shared" si="7"/>
        <v/>
      </c>
      <c r="L226" s="73" t="s">
        <v>16</v>
      </c>
      <c r="M226" s="76"/>
      <c r="O226" s="16" t="str">
        <f t="shared" si="9"/>
        <v/>
      </c>
    </row>
    <row r="227" spans="1:15" ht="14.4" x14ac:dyDescent="0.3">
      <c r="A227" s="72" t="s">
        <v>34</v>
      </c>
      <c r="B227" s="90" t="s">
        <v>662</v>
      </c>
      <c r="C227" s="73" t="s">
        <v>106</v>
      </c>
      <c r="D227" s="73" t="s">
        <v>663</v>
      </c>
      <c r="E227" s="73" t="s">
        <v>38</v>
      </c>
      <c r="F227" s="74">
        <v>45395.934027777781</v>
      </c>
      <c r="G227" s="73">
        <v>1161</v>
      </c>
      <c r="H227" s="73" t="s">
        <v>14</v>
      </c>
      <c r="I227" s="75"/>
      <c r="J227" s="73">
        <v>1175</v>
      </c>
      <c r="K227" s="81" t="str">
        <f t="shared" si="7"/>
        <v/>
      </c>
      <c r="L227" s="73" t="s">
        <v>16</v>
      </c>
      <c r="M227" s="76"/>
      <c r="O227" s="16" t="str">
        <f t="shared" si="9"/>
        <v/>
      </c>
    </row>
    <row r="228" spans="1:15" ht="14.4" x14ac:dyDescent="0.3">
      <c r="A228" s="72" t="s">
        <v>17</v>
      </c>
      <c r="B228" s="10" t="s">
        <v>664</v>
      </c>
      <c r="C228" s="1" t="s">
        <v>443</v>
      </c>
      <c r="D228" s="73" t="s">
        <v>665</v>
      </c>
      <c r="E228" s="73" t="s">
        <v>19</v>
      </c>
      <c r="F228" s="74">
        <v>45414.958333333336</v>
      </c>
      <c r="G228" s="73">
        <v>1163</v>
      </c>
      <c r="H228" s="73" t="s">
        <v>14</v>
      </c>
      <c r="I228" s="75"/>
      <c r="J228" s="73">
        <v>1176</v>
      </c>
      <c r="K228" s="81" t="str">
        <f t="shared" si="7"/>
        <v/>
      </c>
      <c r="L228" s="73" t="s">
        <v>16</v>
      </c>
      <c r="M228" s="76"/>
      <c r="O228" s="16" t="str">
        <f t="shared" si="9"/>
        <v/>
      </c>
    </row>
    <row r="229" spans="1:15" ht="9.75" customHeight="1" x14ac:dyDescent="0.3">
      <c r="A229" s="67" t="s">
        <v>17</v>
      </c>
      <c r="B229" s="10" t="s">
        <v>666</v>
      </c>
      <c r="C229" s="1" t="s">
        <v>443</v>
      </c>
      <c r="D229" s="68" t="s">
        <v>667</v>
      </c>
      <c r="E229" s="68" t="s">
        <v>19</v>
      </c>
      <c r="F229" s="69">
        <v>45422.834722222222</v>
      </c>
      <c r="G229" s="68">
        <v>1165</v>
      </c>
      <c r="H229" s="68" t="s">
        <v>14</v>
      </c>
      <c r="I229" s="70"/>
      <c r="J229" s="68">
        <v>1177</v>
      </c>
      <c r="K229" s="81" t="str">
        <f t="shared" si="7"/>
        <v/>
      </c>
      <c r="L229" s="68" t="s">
        <v>16</v>
      </c>
      <c r="M229" s="71"/>
      <c r="O229" s="16" t="str">
        <f t="shared" si="9"/>
        <v/>
      </c>
    </row>
    <row r="230" spans="1:15" ht="15.75" customHeight="1" x14ac:dyDescent="0.3">
      <c r="A230" s="72" t="s">
        <v>17</v>
      </c>
      <c r="B230" s="10" t="s">
        <v>666</v>
      </c>
      <c r="C230" s="73" t="s">
        <v>443</v>
      </c>
      <c r="D230" s="73" t="s">
        <v>668</v>
      </c>
      <c r="E230" s="73" t="s">
        <v>19</v>
      </c>
      <c r="F230" s="74">
        <v>45422.843055555553</v>
      </c>
      <c r="G230" s="73">
        <v>1167</v>
      </c>
      <c r="H230" s="73" t="s">
        <v>14</v>
      </c>
      <c r="I230" s="75"/>
      <c r="J230" s="73">
        <v>1178</v>
      </c>
      <c r="K230" s="81" t="str">
        <f t="shared" si="7"/>
        <v/>
      </c>
      <c r="L230" s="73" t="s">
        <v>16</v>
      </c>
      <c r="M230" s="76"/>
      <c r="O230" s="16" t="str">
        <f t="shared" si="9"/>
        <v/>
      </c>
    </row>
    <row r="231" spans="1:15" ht="14.4" x14ac:dyDescent="0.3">
      <c r="A231" s="72" t="s">
        <v>212</v>
      </c>
      <c r="B231" s="90" t="s">
        <v>669</v>
      </c>
      <c r="C231" s="73" t="s">
        <v>670</v>
      </c>
      <c r="D231" t="s">
        <v>671</v>
      </c>
      <c r="E231" s="73" t="s">
        <v>27</v>
      </c>
      <c r="F231" s="74">
        <v>45425.404166666667</v>
      </c>
      <c r="G231" s="73">
        <v>1169</v>
      </c>
      <c r="H231" s="73" t="s">
        <v>14</v>
      </c>
      <c r="I231" s="75"/>
      <c r="J231" s="73">
        <v>1179</v>
      </c>
      <c r="K231" s="81" t="str">
        <f t="shared" si="7"/>
        <v/>
      </c>
      <c r="L231" s="73" t="s">
        <v>16</v>
      </c>
      <c r="M231" s="88"/>
      <c r="N231" s="38">
        <v>45813</v>
      </c>
      <c r="O231" s="16" t="str">
        <f t="shared" si="9"/>
        <v>OUI</v>
      </c>
    </row>
    <row r="232" spans="1:15" ht="14.4" x14ac:dyDescent="0.3">
      <c r="A232" s="72" t="s">
        <v>58</v>
      </c>
      <c r="B232" s="90" t="s">
        <v>672</v>
      </c>
      <c r="C232" s="1" t="s">
        <v>673</v>
      </c>
      <c r="D232" t="s">
        <v>674</v>
      </c>
      <c r="E232" s="73" t="s">
        <v>61</v>
      </c>
      <c r="F232" s="74">
        <v>45427.779166666667</v>
      </c>
      <c r="G232" s="73">
        <v>1171</v>
      </c>
      <c r="H232" s="73" t="s">
        <v>14</v>
      </c>
      <c r="I232" s="80">
        <v>45441.492326388892</v>
      </c>
      <c r="J232" s="73">
        <v>1208</v>
      </c>
      <c r="K232" s="81" t="str">
        <f t="shared" si="7"/>
        <v>OUI</v>
      </c>
      <c r="L232" s="73" t="s">
        <v>16</v>
      </c>
      <c r="M232" s="76" t="s">
        <v>675</v>
      </c>
      <c r="N232" s="38">
        <v>45442</v>
      </c>
      <c r="O232" s="16" t="str">
        <f t="shared" si="9"/>
        <v>OUI</v>
      </c>
    </row>
    <row r="233" spans="1:15" ht="14.4" x14ac:dyDescent="0.3">
      <c r="A233" s="72" t="s">
        <v>58</v>
      </c>
      <c r="B233" s="90" t="s">
        <v>676</v>
      </c>
      <c r="C233" s="73" t="s">
        <v>594</v>
      </c>
      <c r="D233" s="1" t="s">
        <v>677</v>
      </c>
      <c r="E233" s="73" t="s">
        <v>61</v>
      </c>
      <c r="F233" s="74">
        <v>45439.475694444445</v>
      </c>
      <c r="G233" s="73">
        <v>1271</v>
      </c>
      <c r="H233" s="73" t="s">
        <v>14</v>
      </c>
      <c r="I233" s="75"/>
      <c r="J233" s="73">
        <v>1270</v>
      </c>
      <c r="K233" s="81" t="str">
        <f t="shared" si="7"/>
        <v/>
      </c>
      <c r="L233" s="73" t="s">
        <v>16</v>
      </c>
      <c r="M233" s="71"/>
      <c r="O233" s="16" t="str">
        <f t="shared" si="9"/>
        <v/>
      </c>
    </row>
    <row r="234" spans="1:15" ht="14.4" x14ac:dyDescent="0.3">
      <c r="A234" s="67" t="s">
        <v>34</v>
      </c>
      <c r="B234" s="91" t="s">
        <v>678</v>
      </c>
      <c r="C234" s="68" t="s">
        <v>93</v>
      </c>
      <c r="D234" t="s">
        <v>679</v>
      </c>
      <c r="E234" s="68" t="s">
        <v>38</v>
      </c>
      <c r="F234" s="69">
        <v>45443.647916666669</v>
      </c>
      <c r="G234" s="68">
        <v>1273</v>
      </c>
      <c r="H234" s="68" t="s">
        <v>14</v>
      </c>
      <c r="I234" s="79">
        <v>45477.409224537034</v>
      </c>
      <c r="J234" s="68">
        <v>1275</v>
      </c>
      <c r="K234" s="81" t="str">
        <f t="shared" si="7"/>
        <v>OUI</v>
      </c>
      <c r="L234" s="68" t="s">
        <v>16</v>
      </c>
      <c r="M234" s="71" t="s">
        <v>680</v>
      </c>
      <c r="N234" s="38">
        <v>45477</v>
      </c>
      <c r="O234" s="16" t="str">
        <f t="shared" si="9"/>
        <v>OUI</v>
      </c>
    </row>
    <row r="235" spans="1:15" ht="14.4" x14ac:dyDescent="0.3">
      <c r="A235" s="72" t="s">
        <v>34</v>
      </c>
      <c r="B235" s="90" t="s">
        <v>681</v>
      </c>
      <c r="C235" s="73" t="s">
        <v>109</v>
      </c>
      <c r="D235" s="83" t="s">
        <v>682</v>
      </c>
      <c r="E235" s="73" t="s">
        <v>38</v>
      </c>
      <c r="F235" s="74">
        <v>45444.281944444447</v>
      </c>
      <c r="G235" s="73">
        <v>1275</v>
      </c>
      <c r="H235" s="73" t="s">
        <v>14</v>
      </c>
      <c r="I235" s="80">
        <v>45569.454756944448</v>
      </c>
      <c r="J235" s="73">
        <v>1276</v>
      </c>
      <c r="K235" s="81" t="str">
        <f t="shared" si="7"/>
        <v>OUI</v>
      </c>
      <c r="L235" s="73" t="s">
        <v>16</v>
      </c>
      <c r="M235" s="76" t="s">
        <v>683</v>
      </c>
      <c r="N235" s="38">
        <v>45476</v>
      </c>
      <c r="O235" s="16" t="str">
        <f t="shared" si="9"/>
        <v>OUI</v>
      </c>
    </row>
    <row r="236" spans="1:15" ht="14.4" x14ac:dyDescent="0.3">
      <c r="A236" s="72" t="s">
        <v>684</v>
      </c>
      <c r="B236" s="90" t="s">
        <v>685</v>
      </c>
      <c r="C236" s="73" t="s">
        <v>558</v>
      </c>
      <c r="D236" s="1" t="s">
        <v>686</v>
      </c>
      <c r="E236" s="73" t="s">
        <v>57</v>
      </c>
      <c r="F236" s="74">
        <v>45446.658333333333</v>
      </c>
      <c r="G236" s="73">
        <v>1278</v>
      </c>
      <c r="H236" s="73" t="s">
        <v>14</v>
      </c>
      <c r="I236" s="80">
        <v>45569.456354166665</v>
      </c>
      <c r="J236" s="73">
        <v>1281</v>
      </c>
      <c r="K236" s="81" t="str">
        <f t="shared" si="7"/>
        <v>OUI</v>
      </c>
      <c r="L236" s="73" t="s">
        <v>16</v>
      </c>
      <c r="M236" s="76" t="s">
        <v>687</v>
      </c>
      <c r="N236" s="38">
        <v>45489</v>
      </c>
      <c r="O236" s="16" t="str">
        <f t="shared" si="9"/>
        <v>OUI</v>
      </c>
    </row>
    <row r="237" spans="1:15" ht="14.4" x14ac:dyDescent="0.3">
      <c r="A237" s="72" t="s">
        <v>34</v>
      </c>
      <c r="B237" s="90" t="s">
        <v>688</v>
      </c>
      <c r="C237" s="73" t="s">
        <v>88</v>
      </c>
      <c r="D237" t="s">
        <v>689</v>
      </c>
      <c r="E237" s="73" t="s">
        <v>38</v>
      </c>
      <c r="F237" s="74">
        <v>45448.459027777775</v>
      </c>
      <c r="G237" s="73">
        <v>1280</v>
      </c>
      <c r="H237" s="73" t="s">
        <v>14</v>
      </c>
      <c r="I237" s="80">
        <v>45481.724756944444</v>
      </c>
      <c r="J237" s="73">
        <v>1282</v>
      </c>
      <c r="K237" s="81" t="str">
        <f t="shared" si="7"/>
        <v>OUI</v>
      </c>
      <c r="L237" s="73" t="s">
        <v>16</v>
      </c>
      <c r="M237" s="76" t="s">
        <v>690</v>
      </c>
      <c r="N237" s="38">
        <v>45455</v>
      </c>
      <c r="O237" s="16" t="str">
        <f t="shared" si="9"/>
        <v>OUI</v>
      </c>
    </row>
    <row r="238" spans="1:15" ht="14.4" x14ac:dyDescent="0.3">
      <c r="A238" s="72" t="s">
        <v>99</v>
      </c>
      <c r="B238" s="10" t="s">
        <v>691</v>
      </c>
      <c r="C238" s="1" t="s">
        <v>88</v>
      </c>
      <c r="D238" s="73" t="s">
        <v>692</v>
      </c>
      <c r="E238" s="73" t="s">
        <v>13</v>
      </c>
      <c r="F238" s="74">
        <v>45448.725694444445</v>
      </c>
      <c r="G238" s="73">
        <v>1282</v>
      </c>
      <c r="H238" s="73" t="s">
        <v>14</v>
      </c>
      <c r="I238" s="80">
        <v>45461.712685185186</v>
      </c>
      <c r="J238" s="73">
        <v>1283</v>
      </c>
      <c r="K238" s="81" t="str">
        <f t="shared" si="7"/>
        <v>OUI</v>
      </c>
      <c r="L238" s="73" t="s">
        <v>16</v>
      </c>
      <c r="M238" s="76" t="s">
        <v>693</v>
      </c>
      <c r="N238" s="86"/>
      <c r="O238" s="16" t="str">
        <f t="shared" si="9"/>
        <v>OUI</v>
      </c>
    </row>
    <row r="239" spans="1:15" ht="14.4" x14ac:dyDescent="0.3">
      <c r="A239" s="72" t="s">
        <v>34</v>
      </c>
      <c r="B239" s="90" t="s">
        <v>694</v>
      </c>
      <c r="C239" s="73" t="s">
        <v>259</v>
      </c>
      <c r="D239" t="s">
        <v>695</v>
      </c>
      <c r="E239" s="73" t="s">
        <v>38</v>
      </c>
      <c r="F239" s="74">
        <v>45450.372916666667</v>
      </c>
      <c r="G239" s="73">
        <v>1285</v>
      </c>
      <c r="H239" s="73" t="s">
        <v>24</v>
      </c>
      <c r="I239" s="80">
        <v>45450.376388888886</v>
      </c>
      <c r="J239" s="73">
        <v>1285</v>
      </c>
      <c r="K239" s="81" t="str">
        <f t="shared" si="7"/>
        <v>OUI</v>
      </c>
      <c r="L239" s="73" t="s">
        <v>16</v>
      </c>
      <c r="M239" s="76" t="s">
        <v>696</v>
      </c>
      <c r="N239" s="38">
        <v>45450</v>
      </c>
      <c r="O239" s="16" t="str">
        <f t="shared" si="9"/>
        <v>OUI</v>
      </c>
    </row>
    <row r="240" spans="1:15" ht="14.4" x14ac:dyDescent="0.3">
      <c r="A240" s="72" t="s">
        <v>17</v>
      </c>
      <c r="B240" s="90" t="s">
        <v>697</v>
      </c>
      <c r="C240" s="73" t="s">
        <v>398</v>
      </c>
      <c r="D240" t="s">
        <v>698</v>
      </c>
      <c r="E240" s="73" t="s">
        <v>19</v>
      </c>
      <c r="F240" s="74">
        <v>45453.299305555556</v>
      </c>
      <c r="G240" s="73">
        <v>1287</v>
      </c>
      <c r="H240" s="73" t="s">
        <v>14</v>
      </c>
      <c r="I240" s="80">
        <v>45569.459074074075</v>
      </c>
      <c r="J240" s="73">
        <v>1286</v>
      </c>
      <c r="K240" s="81" t="str">
        <f t="shared" si="7"/>
        <v>OUI</v>
      </c>
      <c r="L240" s="73" t="s">
        <v>16</v>
      </c>
      <c r="M240" s="76" t="s">
        <v>699</v>
      </c>
      <c r="N240" s="38">
        <v>45444</v>
      </c>
      <c r="O240" s="16" t="str">
        <f t="shared" si="9"/>
        <v>OUI</v>
      </c>
    </row>
    <row r="241" spans="1:15" ht="14.4" x14ac:dyDescent="0.3">
      <c r="A241" s="67" t="s">
        <v>17</v>
      </c>
      <c r="B241" s="10" t="s">
        <v>700</v>
      </c>
      <c r="C241" s="1" t="s">
        <v>581</v>
      </c>
      <c r="D241" s="68" t="s">
        <v>701</v>
      </c>
      <c r="E241" s="68" t="s">
        <v>19</v>
      </c>
      <c r="F241" s="69">
        <v>45459.847916666666</v>
      </c>
      <c r="G241" s="68">
        <v>1289</v>
      </c>
      <c r="H241" s="68" t="s">
        <v>14</v>
      </c>
      <c r="I241" s="70"/>
      <c r="J241" s="68">
        <v>1297</v>
      </c>
      <c r="K241" s="81" t="str">
        <f t="shared" si="7"/>
        <v/>
      </c>
      <c r="L241" s="68" t="s">
        <v>16</v>
      </c>
      <c r="M241" s="71"/>
      <c r="O241" s="16" t="str">
        <f t="shared" si="9"/>
        <v/>
      </c>
    </row>
    <row r="242" spans="1:15" ht="14.4" x14ac:dyDescent="0.3">
      <c r="A242" s="67" t="s">
        <v>17</v>
      </c>
      <c r="B242" s="10" t="s">
        <v>702</v>
      </c>
      <c r="C242" s="1" t="s">
        <v>172</v>
      </c>
      <c r="D242" s="68" t="s">
        <v>703</v>
      </c>
      <c r="E242" s="68" t="s">
        <v>19</v>
      </c>
      <c r="F242" s="69">
        <v>45460.515277777777</v>
      </c>
      <c r="G242" s="68">
        <v>1291</v>
      </c>
      <c r="H242" s="68" t="s">
        <v>14</v>
      </c>
      <c r="I242" s="70"/>
      <c r="J242" s="68">
        <v>1298</v>
      </c>
      <c r="K242" s="81" t="str">
        <f t="shared" si="7"/>
        <v/>
      </c>
      <c r="L242" s="68" t="s">
        <v>16</v>
      </c>
      <c r="M242" s="71"/>
      <c r="O242" s="16" t="str">
        <f t="shared" si="9"/>
        <v/>
      </c>
    </row>
    <row r="243" spans="1:15" ht="14.4" x14ac:dyDescent="0.3">
      <c r="A243" s="72" t="s">
        <v>17</v>
      </c>
      <c r="B243" s="90" t="s">
        <v>704</v>
      </c>
      <c r="C243" s="73" t="s">
        <v>172</v>
      </c>
      <c r="D243" s="73" t="s">
        <v>705</v>
      </c>
      <c r="E243" s="73" t="s">
        <v>19</v>
      </c>
      <c r="F243" s="74">
        <v>45460.569444444445</v>
      </c>
      <c r="G243" s="73">
        <v>1293</v>
      </c>
      <c r="H243" s="73" t="s">
        <v>14</v>
      </c>
      <c r="I243" s="75"/>
      <c r="J243" s="73">
        <v>1299</v>
      </c>
      <c r="K243" s="81" t="str">
        <f t="shared" si="7"/>
        <v/>
      </c>
      <c r="L243" s="73" t="s">
        <v>16</v>
      </c>
      <c r="M243" s="76"/>
      <c r="O243" s="16" t="str">
        <f t="shared" si="9"/>
        <v/>
      </c>
    </row>
    <row r="244" spans="1:15" ht="14.4" x14ac:dyDescent="0.3">
      <c r="A244" s="67" t="s">
        <v>34</v>
      </c>
      <c r="B244" s="91" t="s">
        <v>706</v>
      </c>
      <c r="C244" s="68" t="s">
        <v>226</v>
      </c>
      <c r="D244" s="68" t="s">
        <v>707</v>
      </c>
      <c r="E244" s="68" t="s">
        <v>38</v>
      </c>
      <c r="F244" s="69"/>
      <c r="G244" s="68">
        <v>1302</v>
      </c>
      <c r="H244" s="68" t="s">
        <v>14</v>
      </c>
      <c r="I244" s="70"/>
      <c r="J244" s="68">
        <v>1322</v>
      </c>
      <c r="K244" s="81" t="str">
        <f t="shared" si="7"/>
        <v/>
      </c>
      <c r="L244" s="68" t="s">
        <v>16</v>
      </c>
      <c r="M244" s="71"/>
      <c r="O244" s="16" t="str">
        <f t="shared" si="9"/>
        <v/>
      </c>
    </row>
    <row r="245" spans="1:15" ht="14.4" x14ac:dyDescent="0.3">
      <c r="A245" s="72" t="s">
        <v>34</v>
      </c>
      <c r="B245" s="90" t="s">
        <v>708</v>
      </c>
      <c r="C245" s="73" t="s">
        <v>709</v>
      </c>
      <c r="D245" t="s">
        <v>710</v>
      </c>
      <c r="E245" s="73" t="s">
        <v>38</v>
      </c>
      <c r="F245" s="74">
        <v>45466.751388888886</v>
      </c>
      <c r="G245" s="73">
        <v>1304</v>
      </c>
      <c r="H245" s="73" t="s">
        <v>14</v>
      </c>
      <c r="I245" s="75"/>
      <c r="J245" s="73">
        <v>1323</v>
      </c>
      <c r="K245" s="81" t="str">
        <f t="shared" ref="K245:K308" si="10">IF(AND(NOT(ISBLANK(I245)), NOT(ISBLANK(M245))), "OUI", "")</f>
        <v/>
      </c>
      <c r="L245" s="73" t="s">
        <v>16</v>
      </c>
      <c r="M245" s="76"/>
      <c r="O245" s="16" t="str">
        <f t="shared" si="9"/>
        <v/>
      </c>
    </row>
    <row r="246" spans="1:15" ht="14.4" x14ac:dyDescent="0.3">
      <c r="A246" s="67" t="s">
        <v>17</v>
      </c>
      <c r="B246" s="10" t="s">
        <v>711</v>
      </c>
      <c r="C246" s="68" t="s">
        <v>63</v>
      </c>
      <c r="D246" s="68" t="s">
        <v>712</v>
      </c>
      <c r="E246" s="68" t="s">
        <v>19</v>
      </c>
      <c r="F246" s="69">
        <v>45468.953472222223</v>
      </c>
      <c r="G246" s="68">
        <v>1306</v>
      </c>
      <c r="H246" s="68" t="s">
        <v>14</v>
      </c>
      <c r="I246" s="70"/>
      <c r="J246" s="68">
        <v>1324</v>
      </c>
      <c r="K246" s="81" t="str">
        <f t="shared" si="10"/>
        <v/>
      </c>
      <c r="L246" s="68" t="s">
        <v>16</v>
      </c>
      <c r="M246" s="71"/>
      <c r="O246" s="16" t="str">
        <f t="shared" si="9"/>
        <v/>
      </c>
    </row>
    <row r="247" spans="1:15" ht="14.4" x14ac:dyDescent="0.3">
      <c r="A247" s="67" t="s">
        <v>17</v>
      </c>
      <c r="B247" s="10" t="s">
        <v>713</v>
      </c>
      <c r="C247" s="68" t="s">
        <v>66</v>
      </c>
      <c r="D247" s="68" t="s">
        <v>714</v>
      </c>
      <c r="E247" s="68" t="s">
        <v>19</v>
      </c>
      <c r="F247" s="69">
        <v>45469.340277777781</v>
      </c>
      <c r="G247" s="68">
        <v>1307</v>
      </c>
      <c r="H247" s="68" t="s">
        <v>14</v>
      </c>
      <c r="I247" s="70"/>
      <c r="J247" s="68">
        <v>1325</v>
      </c>
      <c r="K247" s="81" t="str">
        <f t="shared" si="10"/>
        <v/>
      </c>
      <c r="L247" s="68" t="s">
        <v>16</v>
      </c>
      <c r="M247" s="71"/>
      <c r="O247" s="16" t="str">
        <f t="shared" si="9"/>
        <v/>
      </c>
    </row>
    <row r="248" spans="1:15" ht="14.4" x14ac:dyDescent="0.3">
      <c r="A248" s="72" t="s">
        <v>17</v>
      </c>
      <c r="B248" s="10" t="s">
        <v>713</v>
      </c>
      <c r="C248" s="73" t="s">
        <v>66</v>
      </c>
      <c r="D248" s="73" t="s">
        <v>715</v>
      </c>
      <c r="E248" s="73" t="s">
        <v>19</v>
      </c>
      <c r="F248" s="74">
        <v>45469.341666666667</v>
      </c>
      <c r="G248" s="73">
        <v>1309</v>
      </c>
      <c r="H248" s="73" t="s">
        <v>14</v>
      </c>
      <c r="I248" s="75"/>
      <c r="J248" s="73">
        <v>1326</v>
      </c>
      <c r="K248" s="81" t="str">
        <f t="shared" si="10"/>
        <v/>
      </c>
      <c r="L248" s="73" t="s">
        <v>16</v>
      </c>
      <c r="M248" s="76"/>
      <c r="O248" s="16" t="str">
        <f t="shared" si="9"/>
        <v/>
      </c>
    </row>
    <row r="249" spans="1:15" ht="14.4" x14ac:dyDescent="0.3">
      <c r="A249" s="72" t="s">
        <v>17</v>
      </c>
      <c r="B249" s="10" t="s">
        <v>716</v>
      </c>
      <c r="C249" s="73" t="s">
        <v>206</v>
      </c>
      <c r="D249" s="73" t="s">
        <v>717</v>
      </c>
      <c r="E249" s="73" t="s">
        <v>19</v>
      </c>
      <c r="F249" s="74">
        <v>45470.436111111114</v>
      </c>
      <c r="G249" s="73">
        <v>1311</v>
      </c>
      <c r="H249" s="73" t="s">
        <v>14</v>
      </c>
      <c r="I249" s="75"/>
      <c r="J249" s="73">
        <v>1327</v>
      </c>
      <c r="K249" s="81" t="str">
        <f t="shared" si="10"/>
        <v/>
      </c>
      <c r="L249" s="73" t="s">
        <v>16</v>
      </c>
      <c r="M249" s="76"/>
      <c r="O249" s="16" t="str">
        <f t="shared" ref="O249:O266" si="11">IF(AND(ISBLANK(I249), ISBLANK(N249)), "", "OUI")</f>
        <v/>
      </c>
    </row>
    <row r="250" spans="1:15" ht="14.4" x14ac:dyDescent="0.3">
      <c r="A250" s="72" t="s">
        <v>17</v>
      </c>
      <c r="B250" s="10" t="s">
        <v>718</v>
      </c>
      <c r="C250" s="1" t="s">
        <v>47</v>
      </c>
      <c r="D250" s="73" t="s">
        <v>719</v>
      </c>
      <c r="E250" s="73" t="s">
        <v>19</v>
      </c>
      <c r="F250" s="74">
        <v>45470.897916666669</v>
      </c>
      <c r="G250" s="73">
        <v>1313</v>
      </c>
      <c r="H250" s="73" t="s">
        <v>14</v>
      </c>
      <c r="I250" s="75"/>
      <c r="J250" s="73">
        <v>1328</v>
      </c>
      <c r="K250" s="81" t="str">
        <f t="shared" si="10"/>
        <v/>
      </c>
      <c r="L250" s="73" t="s">
        <v>16</v>
      </c>
      <c r="M250" s="76"/>
      <c r="O250" s="16" t="str">
        <f t="shared" si="11"/>
        <v/>
      </c>
    </row>
    <row r="251" spans="1:15" ht="14.4" x14ac:dyDescent="0.3">
      <c r="A251" s="72" t="s">
        <v>58</v>
      </c>
      <c r="B251" s="90" t="s">
        <v>720</v>
      </c>
      <c r="C251" s="73" t="s">
        <v>66</v>
      </c>
      <c r="D251" t="s">
        <v>721</v>
      </c>
      <c r="E251" s="73" t="s">
        <v>61</v>
      </c>
      <c r="F251" s="74">
        <v>45471.566666666666</v>
      </c>
      <c r="G251" s="73">
        <v>1315</v>
      </c>
      <c r="H251" s="73" t="s">
        <v>14</v>
      </c>
      <c r="I251" s="75"/>
      <c r="J251" s="73">
        <v>1329</v>
      </c>
      <c r="K251" s="81" t="str">
        <f t="shared" si="10"/>
        <v/>
      </c>
      <c r="L251" s="73" t="s">
        <v>16</v>
      </c>
      <c r="M251" s="76"/>
      <c r="O251" s="16" t="str">
        <f t="shared" si="11"/>
        <v/>
      </c>
    </row>
    <row r="252" spans="1:15" ht="14.4" x14ac:dyDescent="0.3">
      <c r="A252" s="72" t="s">
        <v>17</v>
      </c>
      <c r="B252" s="10" t="s">
        <v>722</v>
      </c>
      <c r="C252" s="1" t="s">
        <v>723</v>
      </c>
      <c r="D252" s="73" t="s">
        <v>724</v>
      </c>
      <c r="E252" s="73" t="s">
        <v>19</v>
      </c>
      <c r="F252" s="74">
        <v>45472.713194444441</v>
      </c>
      <c r="G252" s="73">
        <v>1317</v>
      </c>
      <c r="H252" s="73" t="s">
        <v>14</v>
      </c>
      <c r="I252" s="75"/>
      <c r="J252" s="73">
        <v>1330</v>
      </c>
      <c r="K252" s="81" t="str">
        <f t="shared" si="10"/>
        <v/>
      </c>
      <c r="L252" s="73" t="s">
        <v>16</v>
      </c>
      <c r="M252" s="76"/>
      <c r="O252" s="16" t="str">
        <f t="shared" si="11"/>
        <v/>
      </c>
    </row>
    <row r="253" spans="1:15" ht="15" customHeight="1" x14ac:dyDescent="0.3">
      <c r="A253" s="72" t="s">
        <v>10</v>
      </c>
      <c r="B253" s="10" t="s">
        <v>725</v>
      </c>
      <c r="C253" s="1" t="s">
        <v>26</v>
      </c>
      <c r="D253" t="s">
        <v>726</v>
      </c>
      <c r="E253" s="73" t="s">
        <v>13</v>
      </c>
      <c r="F253" s="74">
        <v>45475.877083333333</v>
      </c>
      <c r="G253" s="73">
        <v>1319</v>
      </c>
      <c r="H253" s="73" t="s">
        <v>14</v>
      </c>
      <c r="I253" s="80">
        <v>45476.491631944446</v>
      </c>
      <c r="J253" s="73">
        <v>1331</v>
      </c>
      <c r="K253" s="81" t="str">
        <f t="shared" si="10"/>
        <v>OUI</v>
      </c>
      <c r="L253" s="73" t="s">
        <v>16</v>
      </c>
      <c r="M253" s="76" t="s">
        <v>727</v>
      </c>
      <c r="N253" s="38">
        <v>45478</v>
      </c>
      <c r="O253" s="16" t="str">
        <f t="shared" si="11"/>
        <v>OUI</v>
      </c>
    </row>
    <row r="254" spans="1:15" ht="14.4" x14ac:dyDescent="0.3">
      <c r="A254" s="72" t="s">
        <v>99</v>
      </c>
      <c r="B254" s="10" t="s">
        <v>728</v>
      </c>
      <c r="C254" s="1" t="s">
        <v>562</v>
      </c>
      <c r="D254" s="1" t="s">
        <v>729</v>
      </c>
      <c r="E254" s="73" t="s">
        <v>13</v>
      </c>
      <c r="F254" s="74">
        <v>45484.305555555555</v>
      </c>
      <c r="G254" s="73">
        <v>1321</v>
      </c>
      <c r="H254" s="73" t="s">
        <v>14</v>
      </c>
      <c r="I254" s="80">
        <v>45569.463206018518</v>
      </c>
      <c r="J254" s="73">
        <v>1332</v>
      </c>
      <c r="K254" s="81" t="str">
        <f t="shared" si="10"/>
        <v>OUI</v>
      </c>
      <c r="L254" s="73" t="s">
        <v>16</v>
      </c>
      <c r="M254" s="76" t="s">
        <v>730</v>
      </c>
      <c r="N254" s="38">
        <v>45523</v>
      </c>
      <c r="O254" s="16" t="str">
        <f t="shared" si="11"/>
        <v>OUI</v>
      </c>
    </row>
    <row r="255" spans="1:15" ht="14.4" x14ac:dyDescent="0.3">
      <c r="A255" s="72" t="s">
        <v>34</v>
      </c>
      <c r="B255" s="90" t="s">
        <v>731</v>
      </c>
      <c r="C255" s="73" t="s">
        <v>184</v>
      </c>
      <c r="D255" s="83" t="s">
        <v>732</v>
      </c>
      <c r="E255" s="73" t="s">
        <v>38</v>
      </c>
      <c r="F255" s="74">
        <v>45484.561805555553</v>
      </c>
      <c r="G255" s="73">
        <v>1323</v>
      </c>
      <c r="H255" s="73" t="s">
        <v>14</v>
      </c>
      <c r="I255" s="80">
        <v>45497.504166666666</v>
      </c>
      <c r="J255" s="73">
        <v>1333</v>
      </c>
      <c r="K255" s="81" t="str">
        <f t="shared" si="10"/>
        <v>OUI</v>
      </c>
      <c r="L255" s="73" t="s">
        <v>16</v>
      </c>
      <c r="M255" s="76" t="s">
        <v>733</v>
      </c>
      <c r="N255" s="38">
        <v>45484</v>
      </c>
      <c r="O255" s="16" t="str">
        <f t="shared" si="11"/>
        <v>OUI</v>
      </c>
    </row>
    <row r="256" spans="1:15" ht="14.4" x14ac:dyDescent="0.3">
      <c r="A256" s="72" t="s">
        <v>17</v>
      </c>
      <c r="B256" s="10" t="s">
        <v>734</v>
      </c>
      <c r="C256" s="1" t="s">
        <v>66</v>
      </c>
      <c r="D256" s="73" t="s">
        <v>735</v>
      </c>
      <c r="E256" s="73" t="s">
        <v>19</v>
      </c>
      <c r="F256" s="74">
        <v>45488.513888888891</v>
      </c>
      <c r="G256" s="73">
        <v>1336</v>
      </c>
      <c r="H256" s="73" t="s">
        <v>14</v>
      </c>
      <c r="I256" s="75"/>
      <c r="J256" s="73">
        <v>1335</v>
      </c>
      <c r="K256" s="81" t="str">
        <f t="shared" si="10"/>
        <v/>
      </c>
      <c r="L256" s="73" t="s">
        <v>16</v>
      </c>
      <c r="M256" s="76"/>
      <c r="O256" s="16" t="str">
        <f t="shared" si="11"/>
        <v/>
      </c>
    </row>
    <row r="257" spans="1:15" ht="14.4" x14ac:dyDescent="0.3">
      <c r="A257" s="67" t="s">
        <v>34</v>
      </c>
      <c r="B257" s="91" t="s">
        <v>736</v>
      </c>
      <c r="C257" s="68" t="s">
        <v>66</v>
      </c>
      <c r="D257" s="68" t="s">
        <v>737</v>
      </c>
      <c r="E257" s="68" t="s">
        <v>38</v>
      </c>
      <c r="F257" s="69">
        <v>45492.411805555559</v>
      </c>
      <c r="G257" s="68">
        <v>1338</v>
      </c>
      <c r="H257" s="68" t="s">
        <v>14</v>
      </c>
      <c r="I257" s="79">
        <v>45495.62777777778</v>
      </c>
      <c r="J257" s="68">
        <v>1337</v>
      </c>
      <c r="K257" s="81" t="str">
        <f t="shared" si="10"/>
        <v>OUI</v>
      </c>
      <c r="L257" s="68" t="s">
        <v>16</v>
      </c>
      <c r="M257" s="71" t="s">
        <v>738</v>
      </c>
      <c r="N257" s="38">
        <v>45497</v>
      </c>
      <c r="O257" s="16" t="str">
        <f t="shared" si="11"/>
        <v>OUI</v>
      </c>
    </row>
    <row r="258" spans="1:15" ht="14.4" x14ac:dyDescent="0.3">
      <c r="A258" s="72" t="s">
        <v>17</v>
      </c>
      <c r="B258" s="10" t="s">
        <v>739</v>
      </c>
      <c r="C258" s="73" t="s">
        <v>144</v>
      </c>
      <c r="D258" s="73" t="s">
        <v>740</v>
      </c>
      <c r="E258" s="73" t="s">
        <v>19</v>
      </c>
      <c r="F258" s="74">
        <v>45493.695138888892</v>
      </c>
      <c r="G258" s="73">
        <v>1340</v>
      </c>
      <c r="H258" s="73" t="s">
        <v>14</v>
      </c>
      <c r="I258" s="75"/>
      <c r="J258" s="73">
        <v>1338</v>
      </c>
      <c r="K258" s="81" t="str">
        <f t="shared" si="10"/>
        <v/>
      </c>
      <c r="L258" s="73" t="s">
        <v>16</v>
      </c>
      <c r="M258" s="76"/>
      <c r="O258" s="16" t="str">
        <f t="shared" si="11"/>
        <v/>
      </c>
    </row>
    <row r="259" spans="1:15" ht="14.4" x14ac:dyDescent="0.3">
      <c r="A259" s="72" t="s">
        <v>28</v>
      </c>
      <c r="B259" s="90" t="s">
        <v>397</v>
      </c>
      <c r="C259" s="1" t="s">
        <v>398</v>
      </c>
      <c r="D259" t="s">
        <v>741</v>
      </c>
      <c r="E259" s="73" t="s">
        <v>31</v>
      </c>
      <c r="F259" s="74">
        <v>45503.384722222225</v>
      </c>
      <c r="G259" s="73">
        <v>1343</v>
      </c>
      <c r="H259" s="73" t="s">
        <v>14</v>
      </c>
      <c r="I259" s="80">
        <v>45503.644293981481</v>
      </c>
      <c r="J259" s="73">
        <v>1340</v>
      </c>
      <c r="K259" s="81" t="str">
        <f t="shared" si="10"/>
        <v>OUI</v>
      </c>
      <c r="L259" s="73" t="s">
        <v>16</v>
      </c>
      <c r="M259" s="76" t="s">
        <v>742</v>
      </c>
      <c r="N259" s="38">
        <v>45525</v>
      </c>
      <c r="O259" s="16" t="str">
        <f t="shared" si="11"/>
        <v>OUI</v>
      </c>
    </row>
    <row r="260" spans="1:15" ht="14.4" x14ac:dyDescent="0.3">
      <c r="A260" s="67" t="s">
        <v>10</v>
      </c>
      <c r="B260" s="10" t="s">
        <v>743</v>
      </c>
      <c r="C260" s="1" t="s">
        <v>443</v>
      </c>
      <c r="D260" t="s">
        <v>744</v>
      </c>
      <c r="E260" s="68" t="s">
        <v>13</v>
      </c>
      <c r="F260" s="69">
        <v>45503.499305555553</v>
      </c>
      <c r="G260" s="68">
        <v>1345</v>
      </c>
      <c r="H260" s="68" t="s">
        <v>14</v>
      </c>
      <c r="I260" s="79">
        <v>45503.502083333333</v>
      </c>
      <c r="J260" s="68">
        <v>1341</v>
      </c>
      <c r="K260" s="81" t="str">
        <f t="shared" si="10"/>
        <v>OUI</v>
      </c>
      <c r="L260" s="68" t="s">
        <v>16</v>
      </c>
      <c r="M260" s="71" t="s">
        <v>745</v>
      </c>
      <c r="N260" s="38">
        <v>45609</v>
      </c>
      <c r="O260" s="16" t="str">
        <f t="shared" si="11"/>
        <v>OUI</v>
      </c>
    </row>
    <row r="261" spans="1:15" ht="14.4" x14ac:dyDescent="0.3">
      <c r="A261" s="72" t="s">
        <v>34</v>
      </c>
      <c r="B261" s="90" t="s">
        <v>746</v>
      </c>
      <c r="C261" s="73" t="s">
        <v>63</v>
      </c>
      <c r="D261" t="s">
        <v>747</v>
      </c>
      <c r="E261" s="73" t="s">
        <v>38</v>
      </c>
      <c r="F261" s="74">
        <v>45503.54791666667</v>
      </c>
      <c r="G261" s="73">
        <v>1346</v>
      </c>
      <c r="H261" s="73" t="s">
        <v>24</v>
      </c>
      <c r="I261" s="80">
        <v>45503.645324074074</v>
      </c>
      <c r="J261" s="73">
        <v>1342</v>
      </c>
      <c r="K261" s="81" t="str">
        <f t="shared" si="10"/>
        <v>OUI</v>
      </c>
      <c r="L261" s="73" t="s">
        <v>16</v>
      </c>
      <c r="M261" s="76" t="s">
        <v>748</v>
      </c>
      <c r="N261" s="38">
        <v>45533</v>
      </c>
      <c r="O261" s="16" t="str">
        <f t="shared" si="11"/>
        <v>OUI</v>
      </c>
    </row>
    <row r="262" spans="1:15" ht="14.4" x14ac:dyDescent="0.3">
      <c r="A262" s="67" t="s">
        <v>34</v>
      </c>
      <c r="B262" s="91" t="s">
        <v>749</v>
      </c>
      <c r="C262" s="68" t="s">
        <v>63</v>
      </c>
      <c r="D262" s="84" t="s">
        <v>750</v>
      </c>
      <c r="E262" s="68" t="s">
        <v>38</v>
      </c>
      <c r="F262" s="69">
        <v>45504.448611111111</v>
      </c>
      <c r="G262" s="68">
        <v>1348</v>
      </c>
      <c r="H262" s="68" t="s">
        <v>14</v>
      </c>
      <c r="I262" s="79">
        <v>45505.591446759259</v>
      </c>
      <c r="J262" s="68">
        <v>1343</v>
      </c>
      <c r="K262" s="81" t="str">
        <f t="shared" si="10"/>
        <v>OUI</v>
      </c>
      <c r="L262" s="68" t="s">
        <v>16</v>
      </c>
      <c r="M262" s="71" t="s">
        <v>751</v>
      </c>
      <c r="N262" s="38">
        <v>45533</v>
      </c>
      <c r="O262" s="16" t="str">
        <f t="shared" si="11"/>
        <v>OUI</v>
      </c>
    </row>
    <row r="263" spans="1:15" ht="14.4" x14ac:dyDescent="0.3">
      <c r="A263" s="72" t="s">
        <v>34</v>
      </c>
      <c r="B263" s="90" t="s">
        <v>752</v>
      </c>
      <c r="C263" s="73" t="s">
        <v>63</v>
      </c>
      <c r="D263" s="73" t="s">
        <v>753</v>
      </c>
      <c r="E263" s="73" t="s">
        <v>38</v>
      </c>
      <c r="F263" s="74">
        <v>45504.464583333334</v>
      </c>
      <c r="G263" s="73">
        <v>1350</v>
      </c>
      <c r="H263" s="73" t="s">
        <v>14</v>
      </c>
      <c r="I263" s="80">
        <v>45504.509722222225</v>
      </c>
      <c r="J263" s="73">
        <v>1344</v>
      </c>
      <c r="K263" s="81" t="str">
        <f t="shared" si="10"/>
        <v>OUI</v>
      </c>
      <c r="L263" s="73" t="s">
        <v>16</v>
      </c>
      <c r="M263" s="76" t="s">
        <v>754</v>
      </c>
      <c r="N263" s="38">
        <v>45609</v>
      </c>
      <c r="O263" s="16" t="str">
        <f t="shared" si="11"/>
        <v>OUI</v>
      </c>
    </row>
    <row r="264" spans="1:15" ht="14.4" x14ac:dyDescent="0.3">
      <c r="A264" s="67" t="s">
        <v>34</v>
      </c>
      <c r="B264" s="91" t="s">
        <v>755</v>
      </c>
      <c r="C264" s="68" t="s">
        <v>63</v>
      </c>
      <c r="D264" s="68" t="s">
        <v>756</v>
      </c>
      <c r="E264" s="68" t="s">
        <v>38</v>
      </c>
      <c r="F264" s="69">
        <v>45507.602083333331</v>
      </c>
      <c r="G264" s="68">
        <v>1352</v>
      </c>
      <c r="H264" s="68" t="s">
        <v>14</v>
      </c>
      <c r="I264" s="70"/>
      <c r="J264" s="68">
        <v>1345</v>
      </c>
      <c r="K264" s="81" t="str">
        <f t="shared" si="10"/>
        <v/>
      </c>
      <c r="L264" s="68" t="s">
        <v>16</v>
      </c>
      <c r="M264" s="71"/>
      <c r="O264" s="16" t="str">
        <f t="shared" si="11"/>
        <v/>
      </c>
    </row>
    <row r="265" spans="1:15" ht="14.4" x14ac:dyDescent="0.3">
      <c r="A265" s="67" t="s">
        <v>34</v>
      </c>
      <c r="B265" s="91" t="s">
        <v>757</v>
      </c>
      <c r="C265" s="68" t="s">
        <v>63</v>
      </c>
      <c r="D265" s="1" t="s">
        <v>758</v>
      </c>
      <c r="E265" s="68" t="s">
        <v>38</v>
      </c>
      <c r="F265" s="69">
        <v>45507.619444444441</v>
      </c>
      <c r="G265" s="68">
        <v>1354</v>
      </c>
      <c r="H265" s="68" t="s">
        <v>14</v>
      </c>
      <c r="I265" s="70"/>
      <c r="J265" s="68">
        <v>1346</v>
      </c>
      <c r="K265" s="81" t="str">
        <f t="shared" si="10"/>
        <v/>
      </c>
      <c r="L265" s="68" t="s">
        <v>16</v>
      </c>
      <c r="M265" s="71"/>
      <c r="O265" s="16" t="str">
        <f t="shared" si="11"/>
        <v/>
      </c>
    </row>
    <row r="266" spans="1:15" ht="14.4" x14ac:dyDescent="0.3">
      <c r="A266" s="67" t="s">
        <v>34</v>
      </c>
      <c r="B266" s="91" t="s">
        <v>759</v>
      </c>
      <c r="C266" s="68" t="s">
        <v>144</v>
      </c>
      <c r="D266" t="s">
        <v>760</v>
      </c>
      <c r="E266" s="68" t="s">
        <v>38</v>
      </c>
      <c r="F266" s="69">
        <v>45509.586111111108</v>
      </c>
      <c r="G266" s="68">
        <v>1356</v>
      </c>
      <c r="H266" s="68" t="s">
        <v>14</v>
      </c>
      <c r="I266" s="79">
        <v>45552.484027777777</v>
      </c>
      <c r="J266" s="68">
        <v>1347</v>
      </c>
      <c r="K266" s="81" t="str">
        <f t="shared" si="10"/>
        <v>OUI</v>
      </c>
      <c r="L266" s="68" t="s">
        <v>16</v>
      </c>
      <c r="M266" s="71" t="s">
        <v>761</v>
      </c>
      <c r="N266" s="38">
        <v>45541</v>
      </c>
      <c r="O266" s="16" t="str">
        <f t="shared" si="11"/>
        <v>OUI</v>
      </c>
    </row>
    <row r="267" spans="1:15" ht="14.4" x14ac:dyDescent="0.3">
      <c r="A267" s="67" t="s">
        <v>58</v>
      </c>
      <c r="B267" s="91" t="s">
        <v>762</v>
      </c>
      <c r="C267" s="68" t="s">
        <v>47</v>
      </c>
      <c r="D267" t="s">
        <v>763</v>
      </c>
      <c r="E267" s="68" t="s">
        <v>61</v>
      </c>
      <c r="F267" s="69">
        <v>45509.696527777778</v>
      </c>
      <c r="G267" s="68">
        <v>1358</v>
      </c>
      <c r="H267" s="68" t="s">
        <v>14</v>
      </c>
      <c r="I267" s="79">
        <v>45596.677303240744</v>
      </c>
      <c r="J267" s="68">
        <v>1348</v>
      </c>
      <c r="K267" s="81" t="str">
        <f t="shared" si="10"/>
        <v>OUI</v>
      </c>
      <c r="L267" s="68" t="s">
        <v>16</v>
      </c>
      <c r="M267" s="71" t="s">
        <v>764</v>
      </c>
      <c r="N267" s="38">
        <v>45454</v>
      </c>
      <c r="O267" s="16" t="s">
        <v>221</v>
      </c>
    </row>
    <row r="268" spans="1:15" ht="14.4" x14ac:dyDescent="0.3">
      <c r="A268" s="67" t="s">
        <v>34</v>
      </c>
      <c r="B268" s="91" t="s">
        <v>765</v>
      </c>
      <c r="C268" s="68" t="s">
        <v>259</v>
      </c>
      <c r="D268" s="68" t="s">
        <v>766</v>
      </c>
      <c r="E268" s="68" t="s">
        <v>38</v>
      </c>
      <c r="F268" s="69">
        <v>45512.661111111112</v>
      </c>
      <c r="G268" s="68">
        <v>1360</v>
      </c>
      <c r="H268" s="68" t="s">
        <v>14</v>
      </c>
      <c r="I268" s="79">
        <v>45663.595810185187</v>
      </c>
      <c r="J268" s="68">
        <v>1349</v>
      </c>
      <c r="K268" s="81" t="str">
        <f t="shared" si="10"/>
        <v>OUI</v>
      </c>
      <c r="L268" s="68" t="s">
        <v>16</v>
      </c>
      <c r="M268" s="71" t="s">
        <v>767</v>
      </c>
      <c r="N268" s="38">
        <v>45638</v>
      </c>
      <c r="O268" s="16" t="str">
        <f t="shared" ref="O268:O331" si="12">IF(AND(ISBLANK(I268), ISBLANK(N268)), "", "OUI")</f>
        <v>OUI</v>
      </c>
    </row>
    <row r="269" spans="1:15" ht="14.4" x14ac:dyDescent="0.3">
      <c r="A269" s="67" t="s">
        <v>34</v>
      </c>
      <c r="B269" s="91" t="s">
        <v>768</v>
      </c>
      <c r="C269" s="68" t="s">
        <v>709</v>
      </c>
      <c r="D269" s="1" t="s">
        <v>769</v>
      </c>
      <c r="E269" s="68" t="s">
        <v>38</v>
      </c>
      <c r="F269" s="69">
        <v>45516.473611111112</v>
      </c>
      <c r="G269" s="68">
        <v>1362</v>
      </c>
      <c r="H269" s="68" t="s">
        <v>14</v>
      </c>
      <c r="I269" s="70"/>
      <c r="J269" s="68">
        <v>1350</v>
      </c>
      <c r="K269" s="81" t="str">
        <f t="shared" si="10"/>
        <v/>
      </c>
      <c r="L269" s="68" t="s">
        <v>16</v>
      </c>
      <c r="M269" s="71"/>
      <c r="O269" s="16" t="str">
        <f t="shared" si="12"/>
        <v/>
      </c>
    </row>
    <row r="270" spans="1:15" ht="14.4" x14ac:dyDescent="0.3">
      <c r="A270" s="67" t="s">
        <v>17</v>
      </c>
      <c r="B270" s="91" t="s">
        <v>770</v>
      </c>
      <c r="C270" s="68" t="s">
        <v>63</v>
      </c>
      <c r="D270" s="84" t="s">
        <v>771</v>
      </c>
      <c r="E270" s="68" t="s">
        <v>19</v>
      </c>
      <c r="F270" s="69">
        <v>45516.500694444447</v>
      </c>
      <c r="G270" s="68">
        <v>1364</v>
      </c>
      <c r="H270" s="68" t="s">
        <v>14</v>
      </c>
      <c r="I270" s="79">
        <v>45569.465682870374</v>
      </c>
      <c r="J270" s="68">
        <v>1351</v>
      </c>
      <c r="K270" s="81" t="str">
        <f t="shared" si="10"/>
        <v>OUI</v>
      </c>
      <c r="L270" s="68" t="s">
        <v>16</v>
      </c>
      <c r="M270" s="71" t="s">
        <v>772</v>
      </c>
      <c r="N270" s="38">
        <v>45561</v>
      </c>
      <c r="O270" s="16" t="str">
        <f t="shared" si="12"/>
        <v>OUI</v>
      </c>
    </row>
    <row r="271" spans="1:15" ht="14.4" x14ac:dyDescent="0.3">
      <c r="A271" s="67" t="s">
        <v>34</v>
      </c>
      <c r="B271" s="91" t="s">
        <v>773</v>
      </c>
      <c r="C271" s="68" t="s">
        <v>709</v>
      </c>
      <c r="D271" s="68" t="s">
        <v>774</v>
      </c>
      <c r="E271" s="68" t="s">
        <v>38</v>
      </c>
      <c r="F271" s="69">
        <v>45516.601388888892</v>
      </c>
      <c r="G271" s="68">
        <v>1366</v>
      </c>
      <c r="H271" s="68" t="s">
        <v>14</v>
      </c>
      <c r="I271" s="70"/>
      <c r="J271" s="68">
        <v>1352</v>
      </c>
      <c r="K271" s="81" t="str">
        <f t="shared" si="10"/>
        <v/>
      </c>
      <c r="L271" s="68" t="s">
        <v>16</v>
      </c>
      <c r="M271" s="71"/>
      <c r="O271" s="16" t="str">
        <f t="shared" si="12"/>
        <v/>
      </c>
    </row>
    <row r="272" spans="1:15" ht="14.4" x14ac:dyDescent="0.3">
      <c r="A272" s="67" t="s">
        <v>99</v>
      </c>
      <c r="B272" s="91" t="s">
        <v>775</v>
      </c>
      <c r="C272" s="68" t="s">
        <v>259</v>
      </c>
      <c r="D272" s="68" t="s">
        <v>776</v>
      </c>
      <c r="E272" s="68" t="s">
        <v>13</v>
      </c>
      <c r="F272" s="69">
        <v>45520.186111111114</v>
      </c>
      <c r="G272" s="68">
        <v>1368</v>
      </c>
      <c r="H272" s="68" t="s">
        <v>14</v>
      </c>
      <c r="I272" s="70"/>
      <c r="J272" s="68">
        <v>1353</v>
      </c>
      <c r="K272" s="81" t="str">
        <f t="shared" si="10"/>
        <v/>
      </c>
      <c r="L272" s="68" t="s">
        <v>16</v>
      </c>
      <c r="M272" s="71"/>
      <c r="O272" s="16" t="str">
        <f t="shared" si="12"/>
        <v/>
      </c>
    </row>
    <row r="273" spans="1:15" ht="14.4" x14ac:dyDescent="0.3">
      <c r="A273" s="67" t="s">
        <v>10</v>
      </c>
      <c r="B273" s="91" t="s">
        <v>777</v>
      </c>
      <c r="C273" s="68" t="s">
        <v>259</v>
      </c>
      <c r="D273" s="68" t="s">
        <v>778</v>
      </c>
      <c r="E273" s="68" t="s">
        <v>13</v>
      </c>
      <c r="F273" s="69">
        <v>45525.532638888886</v>
      </c>
      <c r="G273" s="68">
        <v>1370</v>
      </c>
      <c r="H273" s="68" t="s">
        <v>14</v>
      </c>
      <c r="I273" s="70"/>
      <c r="J273" s="68">
        <v>1354</v>
      </c>
      <c r="K273" s="81" t="str">
        <f t="shared" si="10"/>
        <v/>
      </c>
      <c r="L273" s="68" t="s">
        <v>16</v>
      </c>
      <c r="M273" s="71"/>
      <c r="O273" s="16" t="str">
        <f t="shared" si="12"/>
        <v/>
      </c>
    </row>
    <row r="274" spans="1:15" ht="14.4" x14ac:dyDescent="0.3">
      <c r="A274" s="72" t="s">
        <v>10</v>
      </c>
      <c r="B274" s="90" t="s">
        <v>777</v>
      </c>
      <c r="C274" s="73" t="s">
        <v>259</v>
      </c>
      <c r="D274" s="73" t="s">
        <v>779</v>
      </c>
      <c r="E274" s="73" t="s">
        <v>13</v>
      </c>
      <c r="F274" s="74">
        <v>45525.536111111112</v>
      </c>
      <c r="G274" s="73">
        <v>1372</v>
      </c>
      <c r="H274" s="73" t="s">
        <v>14</v>
      </c>
      <c r="I274" s="75"/>
      <c r="J274" s="73">
        <v>1355</v>
      </c>
      <c r="K274" s="81" t="str">
        <f t="shared" si="10"/>
        <v/>
      </c>
      <c r="L274" s="73" t="s">
        <v>16</v>
      </c>
      <c r="M274" s="76"/>
      <c r="O274" s="16" t="str">
        <f t="shared" si="12"/>
        <v/>
      </c>
    </row>
    <row r="275" spans="1:15" ht="14.4" x14ac:dyDescent="0.3">
      <c r="A275" s="67" t="s">
        <v>17</v>
      </c>
      <c r="B275" s="10" t="s">
        <v>780</v>
      </c>
      <c r="C275" s="1" t="s">
        <v>594</v>
      </c>
      <c r="D275" s="68" t="s">
        <v>781</v>
      </c>
      <c r="E275" s="68" t="s">
        <v>19</v>
      </c>
      <c r="F275" s="69">
        <v>45545.731944444444</v>
      </c>
      <c r="G275" s="68">
        <v>1378</v>
      </c>
      <c r="H275" s="68" t="s">
        <v>14</v>
      </c>
      <c r="I275" s="70"/>
      <c r="J275" s="68">
        <v>1358</v>
      </c>
      <c r="K275" s="81" t="str">
        <f t="shared" si="10"/>
        <v/>
      </c>
      <c r="L275" s="68" t="s">
        <v>16</v>
      </c>
      <c r="M275" s="71"/>
      <c r="O275" s="16" t="str">
        <f t="shared" si="12"/>
        <v/>
      </c>
    </row>
    <row r="276" spans="1:15" ht="14.4" x14ac:dyDescent="0.3">
      <c r="A276" s="72" t="s">
        <v>17</v>
      </c>
      <c r="B276" s="10" t="s">
        <v>782</v>
      </c>
      <c r="C276" s="1" t="s">
        <v>594</v>
      </c>
      <c r="D276" s="73" t="s">
        <v>783</v>
      </c>
      <c r="E276" s="73" t="s">
        <v>19</v>
      </c>
      <c r="F276" s="74">
        <v>45545.779166666667</v>
      </c>
      <c r="G276" s="73">
        <v>1380</v>
      </c>
      <c r="H276" s="73" t="s">
        <v>14</v>
      </c>
      <c r="I276" s="75"/>
      <c r="J276" s="73">
        <v>1359</v>
      </c>
      <c r="K276" s="81" t="str">
        <f t="shared" si="10"/>
        <v/>
      </c>
      <c r="L276" s="73" t="s">
        <v>16</v>
      </c>
      <c r="M276" s="76"/>
      <c r="O276" s="16" t="str">
        <f t="shared" si="12"/>
        <v/>
      </c>
    </row>
    <row r="277" spans="1:15" ht="14.4" x14ac:dyDescent="0.3">
      <c r="A277" s="72" t="s">
        <v>17</v>
      </c>
      <c r="B277" s="10" t="s">
        <v>784</v>
      </c>
      <c r="C277" s="1" t="s">
        <v>88</v>
      </c>
      <c r="D277" s="73" t="s">
        <v>785</v>
      </c>
      <c r="E277" s="73" t="s">
        <v>19</v>
      </c>
      <c r="F277" s="74">
        <v>45550.548611111109</v>
      </c>
      <c r="G277" s="73">
        <v>1382</v>
      </c>
      <c r="H277" s="73" t="s">
        <v>14</v>
      </c>
      <c r="I277" s="75"/>
      <c r="J277" s="73">
        <v>1360</v>
      </c>
      <c r="K277" s="81" t="str">
        <f t="shared" si="10"/>
        <v/>
      </c>
      <c r="L277" s="73" t="s">
        <v>16</v>
      </c>
      <c r="M277" s="76"/>
      <c r="O277" s="16" t="str">
        <f t="shared" si="12"/>
        <v/>
      </c>
    </row>
    <row r="278" spans="1:15" ht="14.4" x14ac:dyDescent="0.3">
      <c r="A278" s="67" t="s">
        <v>10</v>
      </c>
      <c r="B278" s="10" t="s">
        <v>786</v>
      </c>
      <c r="C278" s="68" t="s">
        <v>106</v>
      </c>
      <c r="D278" s="68" t="s">
        <v>787</v>
      </c>
      <c r="E278" s="68" t="s">
        <v>13</v>
      </c>
      <c r="F278" s="69">
        <v>45554.461805555555</v>
      </c>
      <c r="G278" s="68">
        <v>1384</v>
      </c>
      <c r="H278" s="68" t="s">
        <v>14</v>
      </c>
      <c r="I278" s="70"/>
      <c r="J278" s="68">
        <v>1361</v>
      </c>
      <c r="K278" s="81" t="str">
        <f t="shared" si="10"/>
        <v/>
      </c>
      <c r="L278" s="68" t="s">
        <v>16</v>
      </c>
      <c r="M278" s="71"/>
      <c r="O278" s="16" t="str">
        <f t="shared" si="12"/>
        <v/>
      </c>
    </row>
    <row r="279" spans="1:15" ht="14.4" x14ac:dyDescent="0.3">
      <c r="A279" s="72" t="s">
        <v>99</v>
      </c>
      <c r="B279" s="10" t="s">
        <v>788</v>
      </c>
      <c r="C279" s="1" t="s">
        <v>66</v>
      </c>
      <c r="D279" t="s">
        <v>789</v>
      </c>
      <c r="E279" s="73" t="s">
        <v>13</v>
      </c>
      <c r="F279" s="74">
        <v>45554.46597222222</v>
      </c>
      <c r="G279" s="73">
        <v>1386</v>
      </c>
      <c r="H279" s="73" t="s">
        <v>14</v>
      </c>
      <c r="I279" s="80">
        <v>45688.40960648148</v>
      </c>
      <c r="J279" s="73">
        <v>1362</v>
      </c>
      <c r="K279" s="81" t="str">
        <f t="shared" si="10"/>
        <v>OUI</v>
      </c>
      <c r="L279" s="73" t="s">
        <v>16</v>
      </c>
      <c r="M279" s="76" t="s">
        <v>790</v>
      </c>
      <c r="N279" s="38">
        <v>45692</v>
      </c>
      <c r="O279" s="16" t="str">
        <f t="shared" si="12"/>
        <v>OUI</v>
      </c>
    </row>
    <row r="280" spans="1:15" ht="14.4" x14ac:dyDescent="0.3">
      <c r="A280" s="72" t="s">
        <v>34</v>
      </c>
      <c r="B280" s="90" t="s">
        <v>791</v>
      </c>
      <c r="C280" s="73" t="s">
        <v>66</v>
      </c>
      <c r="D280" t="s">
        <v>792</v>
      </c>
      <c r="E280" s="73" t="s">
        <v>38</v>
      </c>
      <c r="F280" s="74">
        <v>45560.445138888892</v>
      </c>
      <c r="G280" s="73">
        <v>1388</v>
      </c>
      <c r="H280" s="73" t="s">
        <v>14</v>
      </c>
      <c r="I280" s="80">
        <v>45560.594699074078</v>
      </c>
      <c r="J280" s="73">
        <v>1363</v>
      </c>
      <c r="K280" s="81" t="str">
        <f t="shared" si="10"/>
        <v>OUI</v>
      </c>
      <c r="L280" s="73" t="s">
        <v>16</v>
      </c>
      <c r="M280" s="76" t="s">
        <v>793</v>
      </c>
      <c r="N280" s="38">
        <v>45560</v>
      </c>
      <c r="O280" s="16" t="str">
        <f t="shared" si="12"/>
        <v>OUI</v>
      </c>
    </row>
    <row r="281" spans="1:15" ht="14.4" x14ac:dyDescent="0.3">
      <c r="A281" s="72" t="s">
        <v>34</v>
      </c>
      <c r="B281" s="90" t="s">
        <v>83</v>
      </c>
      <c r="C281" s="73" t="s">
        <v>93</v>
      </c>
      <c r="D281" s="83" t="s">
        <v>413</v>
      </c>
      <c r="E281" s="73" t="s">
        <v>38</v>
      </c>
      <c r="F281" s="74">
        <v>45561.404166666667</v>
      </c>
      <c r="G281" s="73">
        <v>1390</v>
      </c>
      <c r="H281" s="73" t="s">
        <v>14</v>
      </c>
      <c r="I281" s="75"/>
      <c r="J281" s="73">
        <v>1364</v>
      </c>
      <c r="K281" s="81" t="str">
        <f t="shared" si="10"/>
        <v/>
      </c>
      <c r="L281" s="73" t="s">
        <v>165</v>
      </c>
      <c r="M281" s="76"/>
      <c r="N281" s="38"/>
      <c r="O281" s="16" t="str">
        <f t="shared" si="12"/>
        <v/>
      </c>
    </row>
    <row r="282" spans="1:15" ht="14.4" x14ac:dyDescent="0.3">
      <c r="A282" s="67" t="s">
        <v>34</v>
      </c>
      <c r="B282" s="91" t="s">
        <v>794</v>
      </c>
      <c r="C282" s="68" t="s">
        <v>226</v>
      </c>
      <c r="D282" s="68" t="s">
        <v>795</v>
      </c>
      <c r="E282" s="68" t="s">
        <v>38</v>
      </c>
      <c r="F282" s="69">
        <v>45563.997916666667</v>
      </c>
      <c r="G282" s="68">
        <v>1392</v>
      </c>
      <c r="H282" s="68" t="s">
        <v>14</v>
      </c>
      <c r="I282" s="70"/>
      <c r="J282" s="68">
        <v>1365</v>
      </c>
      <c r="K282" s="81" t="str">
        <f t="shared" si="10"/>
        <v/>
      </c>
      <c r="L282" s="68" t="s">
        <v>16</v>
      </c>
      <c r="M282" s="71"/>
      <c r="O282" s="16" t="str">
        <f t="shared" si="12"/>
        <v/>
      </c>
    </row>
    <row r="283" spans="1:15" ht="14.4" x14ac:dyDescent="0.3">
      <c r="A283" s="72" t="s">
        <v>17</v>
      </c>
      <c r="B283" s="10" t="s">
        <v>796</v>
      </c>
      <c r="C283" s="1" t="s">
        <v>88</v>
      </c>
      <c r="D283" s="73" t="s">
        <v>797</v>
      </c>
      <c r="E283" s="73" t="s">
        <v>19</v>
      </c>
      <c r="F283" s="74">
        <v>45565.076388888891</v>
      </c>
      <c r="G283" s="73">
        <v>1394</v>
      </c>
      <c r="H283" s="73" t="s">
        <v>14</v>
      </c>
      <c r="I283" s="75"/>
      <c r="J283" s="73">
        <v>1366</v>
      </c>
      <c r="K283" s="81" t="str">
        <f t="shared" si="10"/>
        <v/>
      </c>
      <c r="L283" s="73" t="s">
        <v>16</v>
      </c>
      <c r="M283" s="76"/>
      <c r="O283" s="16" t="str">
        <f t="shared" si="12"/>
        <v/>
      </c>
    </row>
    <row r="284" spans="1:15" ht="14.4" x14ac:dyDescent="0.3">
      <c r="A284" s="72" t="s">
        <v>58</v>
      </c>
      <c r="B284" s="90" t="s">
        <v>798</v>
      </c>
      <c r="C284" s="1" t="s">
        <v>259</v>
      </c>
      <c r="D284" t="s">
        <v>799</v>
      </c>
      <c r="E284" s="73" t="s">
        <v>61</v>
      </c>
      <c r="F284" s="74">
        <v>45567.384722222225</v>
      </c>
      <c r="G284" s="73">
        <v>1396</v>
      </c>
      <c r="H284" s="73" t="s">
        <v>14</v>
      </c>
      <c r="I284" s="80">
        <v>45586.379560185182</v>
      </c>
      <c r="J284" s="73">
        <v>1367</v>
      </c>
      <c r="K284" s="81" t="str">
        <f t="shared" si="10"/>
        <v>OUI</v>
      </c>
      <c r="L284" s="73" t="s">
        <v>16</v>
      </c>
      <c r="M284" s="76" t="s">
        <v>800</v>
      </c>
      <c r="N284" s="38">
        <v>45579</v>
      </c>
      <c r="O284" s="16" t="str">
        <f t="shared" si="12"/>
        <v>OUI</v>
      </c>
    </row>
    <row r="285" spans="1:15" ht="14.4" x14ac:dyDescent="0.3">
      <c r="A285" s="72" t="s">
        <v>58</v>
      </c>
      <c r="B285" s="90" t="s">
        <v>367</v>
      </c>
      <c r="C285" s="73" t="s">
        <v>226</v>
      </c>
      <c r="D285" s="73" t="s">
        <v>368</v>
      </c>
      <c r="E285" s="73" t="s">
        <v>61</v>
      </c>
      <c r="F285" s="74">
        <v>45567.525000000001</v>
      </c>
      <c r="G285" s="73">
        <v>1400</v>
      </c>
      <c r="H285" s="73" t="s">
        <v>24</v>
      </c>
      <c r="I285" s="75"/>
      <c r="J285" s="73">
        <v>1370</v>
      </c>
      <c r="K285" s="81" t="str">
        <f t="shared" si="10"/>
        <v/>
      </c>
      <c r="L285" s="73" t="s">
        <v>165</v>
      </c>
      <c r="M285" s="76"/>
      <c r="O285" s="16" t="str">
        <f t="shared" si="12"/>
        <v/>
      </c>
    </row>
    <row r="286" spans="1:15" ht="15" customHeight="1" x14ac:dyDescent="0.3">
      <c r="A286" s="72" t="s">
        <v>17</v>
      </c>
      <c r="B286" s="10" t="s">
        <v>801</v>
      </c>
      <c r="C286" s="73" t="s">
        <v>802</v>
      </c>
      <c r="D286" s="73" t="s">
        <v>803</v>
      </c>
      <c r="E286" s="73" t="s">
        <v>19</v>
      </c>
      <c r="F286" s="74">
        <v>45572.92291666667</v>
      </c>
      <c r="G286" s="73">
        <v>1404</v>
      </c>
      <c r="H286" s="73" t="s">
        <v>14</v>
      </c>
      <c r="I286" s="75"/>
      <c r="J286" s="73">
        <v>1390</v>
      </c>
      <c r="K286" s="81" t="str">
        <f t="shared" si="10"/>
        <v/>
      </c>
      <c r="L286" s="73" t="s">
        <v>16</v>
      </c>
      <c r="M286" s="76"/>
      <c r="O286" s="16" t="str">
        <f t="shared" si="12"/>
        <v/>
      </c>
    </row>
    <row r="287" spans="1:15" ht="15" customHeight="1" x14ac:dyDescent="0.3">
      <c r="A287" s="72" t="s">
        <v>34</v>
      </c>
      <c r="B287" s="90" t="s">
        <v>141</v>
      </c>
      <c r="C287" s="73" t="s">
        <v>26</v>
      </c>
      <c r="D287" s="73" t="s">
        <v>142</v>
      </c>
      <c r="E287" s="73" t="s">
        <v>38</v>
      </c>
      <c r="F287" s="74">
        <v>45573.682638888888</v>
      </c>
      <c r="G287" s="73">
        <v>1406</v>
      </c>
      <c r="H287" s="73" t="s">
        <v>14</v>
      </c>
      <c r="I287" s="75"/>
      <c r="J287" s="73">
        <v>1391</v>
      </c>
      <c r="K287" s="81" t="str">
        <f t="shared" si="10"/>
        <v/>
      </c>
      <c r="L287" s="73" t="s">
        <v>16</v>
      </c>
      <c r="M287" s="76"/>
      <c r="O287" s="16" t="str">
        <f t="shared" si="12"/>
        <v/>
      </c>
    </row>
    <row r="288" spans="1:15" ht="15" customHeight="1" x14ac:dyDescent="0.3">
      <c r="A288" s="67" t="s">
        <v>34</v>
      </c>
      <c r="B288" s="10" t="s">
        <v>804</v>
      </c>
      <c r="C288" s="68" t="s">
        <v>106</v>
      </c>
      <c r="D288" s="68" t="s">
        <v>805</v>
      </c>
      <c r="E288" s="68" t="s">
        <v>38</v>
      </c>
      <c r="F288" s="69">
        <v>45573.695833333331</v>
      </c>
      <c r="G288" s="68">
        <v>1408</v>
      </c>
      <c r="H288" s="68" t="s">
        <v>24</v>
      </c>
      <c r="I288" s="70"/>
      <c r="J288" s="68">
        <v>1393</v>
      </c>
      <c r="K288" s="81" t="str">
        <f t="shared" si="10"/>
        <v/>
      </c>
      <c r="L288" s="68" t="s">
        <v>16</v>
      </c>
      <c r="M288" s="71"/>
      <c r="O288" s="16" t="str">
        <f t="shared" si="12"/>
        <v/>
      </c>
    </row>
    <row r="289" spans="1:15" ht="15" customHeight="1" x14ac:dyDescent="0.3">
      <c r="A289" s="72" t="s">
        <v>17</v>
      </c>
      <c r="B289" s="90" t="s">
        <v>806</v>
      </c>
      <c r="C289" s="73" t="s">
        <v>562</v>
      </c>
      <c r="D289" s="73" t="s">
        <v>807</v>
      </c>
      <c r="E289" s="73" t="s">
        <v>19</v>
      </c>
      <c r="F289" s="74">
        <v>45575.899305555555</v>
      </c>
      <c r="G289" s="73">
        <v>1410</v>
      </c>
      <c r="H289" s="73" t="s">
        <v>14</v>
      </c>
      <c r="I289" s="80">
        <v>45583.501342592594</v>
      </c>
      <c r="J289" s="73">
        <v>1402</v>
      </c>
      <c r="K289" s="81" t="str">
        <f t="shared" si="10"/>
        <v>OUI</v>
      </c>
      <c r="L289" s="73" t="s">
        <v>16</v>
      </c>
      <c r="M289" s="76" t="s">
        <v>808</v>
      </c>
      <c r="N289" s="38">
        <v>45580</v>
      </c>
      <c r="O289" s="16" t="str">
        <f t="shared" si="12"/>
        <v>OUI</v>
      </c>
    </row>
    <row r="290" spans="1:15" ht="15" customHeight="1" x14ac:dyDescent="0.3">
      <c r="A290" s="72" t="s">
        <v>34</v>
      </c>
      <c r="B290" s="90" t="s">
        <v>809</v>
      </c>
      <c r="C290" s="73" t="s">
        <v>88</v>
      </c>
      <c r="D290" s="1" t="s">
        <v>810</v>
      </c>
      <c r="E290" s="73" t="s">
        <v>38</v>
      </c>
      <c r="F290" s="74">
        <v>45581.066666666666</v>
      </c>
      <c r="G290" s="73">
        <v>1412</v>
      </c>
      <c r="H290" s="73" t="s">
        <v>14</v>
      </c>
      <c r="I290" s="75"/>
      <c r="J290" s="73">
        <v>1404</v>
      </c>
      <c r="K290" s="81" t="str">
        <f t="shared" si="10"/>
        <v/>
      </c>
      <c r="L290" s="73" t="s">
        <v>16</v>
      </c>
      <c r="M290" s="76"/>
      <c r="O290" s="16" t="str">
        <f t="shared" si="12"/>
        <v/>
      </c>
    </row>
    <row r="291" spans="1:15" ht="15" customHeight="1" x14ac:dyDescent="0.3">
      <c r="A291" s="67" t="s">
        <v>20</v>
      </c>
      <c r="B291" s="91" t="s">
        <v>811</v>
      </c>
      <c r="C291" s="68" t="s">
        <v>175</v>
      </c>
      <c r="D291" t="s">
        <v>812</v>
      </c>
      <c r="E291" s="68" t="s">
        <v>23</v>
      </c>
      <c r="F291" s="69">
        <v>45581.462500000001</v>
      </c>
      <c r="G291" s="68">
        <v>1414</v>
      </c>
      <c r="H291" s="68" t="s">
        <v>14</v>
      </c>
      <c r="I291" s="70"/>
      <c r="J291" s="68">
        <v>1405</v>
      </c>
      <c r="K291" s="81" t="str">
        <f t="shared" si="10"/>
        <v/>
      </c>
      <c r="L291" s="68" t="s">
        <v>16</v>
      </c>
      <c r="M291" s="96" t="s">
        <v>813</v>
      </c>
      <c r="N291" s="38">
        <v>45631</v>
      </c>
      <c r="O291" s="16" t="str">
        <f t="shared" si="12"/>
        <v>OUI</v>
      </c>
    </row>
    <row r="292" spans="1:15" ht="15" customHeight="1" x14ac:dyDescent="0.3">
      <c r="A292" s="72" t="s">
        <v>34</v>
      </c>
      <c r="B292" s="90" t="s">
        <v>814</v>
      </c>
      <c r="C292" s="73" t="s">
        <v>66</v>
      </c>
      <c r="D292" s="1" t="s">
        <v>815</v>
      </c>
      <c r="E292" s="73" t="s">
        <v>38</v>
      </c>
      <c r="F292" s="74">
        <v>45583.690972222219</v>
      </c>
      <c r="G292" s="73">
        <v>1420</v>
      </c>
      <c r="H292" s="73" t="s">
        <v>14</v>
      </c>
      <c r="I292" s="75"/>
      <c r="J292" s="73">
        <v>1411</v>
      </c>
      <c r="K292" s="81" t="str">
        <f t="shared" si="10"/>
        <v/>
      </c>
      <c r="L292" s="73" t="s">
        <v>16</v>
      </c>
      <c r="M292" s="76"/>
      <c r="O292" s="16" t="str">
        <f t="shared" si="12"/>
        <v/>
      </c>
    </row>
    <row r="293" spans="1:15" ht="15" customHeight="1" x14ac:dyDescent="0.3">
      <c r="A293" s="67" t="s">
        <v>34</v>
      </c>
      <c r="B293" s="91" t="s">
        <v>816</v>
      </c>
      <c r="C293" s="68" t="s">
        <v>66</v>
      </c>
      <c r="D293" s="84" t="s">
        <v>817</v>
      </c>
      <c r="E293" s="68" t="s">
        <v>38</v>
      </c>
      <c r="F293" s="69">
        <v>45587.46875</v>
      </c>
      <c r="G293" s="68">
        <v>1423</v>
      </c>
      <c r="H293" s="68" t="s">
        <v>14</v>
      </c>
      <c r="I293" s="79">
        <v>45625.413124999999</v>
      </c>
      <c r="J293" s="68">
        <v>1413</v>
      </c>
      <c r="K293" s="81" t="str">
        <f t="shared" si="10"/>
        <v>OUI</v>
      </c>
      <c r="L293" s="68" t="s">
        <v>16</v>
      </c>
      <c r="M293" s="71" t="s">
        <v>818</v>
      </c>
      <c r="N293" s="38">
        <v>45600</v>
      </c>
      <c r="O293" s="16" t="str">
        <f t="shared" si="12"/>
        <v>OUI</v>
      </c>
    </row>
    <row r="294" spans="1:15" ht="15" customHeight="1" x14ac:dyDescent="0.3">
      <c r="A294" s="72" t="s">
        <v>34</v>
      </c>
      <c r="B294" s="90" t="s">
        <v>819</v>
      </c>
      <c r="C294" s="73" t="s">
        <v>144</v>
      </c>
      <c r="D294" s="73" t="s">
        <v>820</v>
      </c>
      <c r="E294" s="73" t="s">
        <v>38</v>
      </c>
      <c r="F294" s="74">
        <v>45588.243750000001</v>
      </c>
      <c r="G294" s="73">
        <v>1427</v>
      </c>
      <c r="H294" s="73" t="s">
        <v>14</v>
      </c>
      <c r="I294" s="75"/>
      <c r="J294" s="73">
        <v>1415</v>
      </c>
      <c r="K294" s="81" t="str">
        <f t="shared" si="10"/>
        <v/>
      </c>
      <c r="L294" s="73" t="s">
        <v>16</v>
      </c>
      <c r="M294" s="76"/>
      <c r="O294" s="16" t="str">
        <f t="shared" si="12"/>
        <v/>
      </c>
    </row>
    <row r="295" spans="1:15" ht="15" customHeight="1" x14ac:dyDescent="0.3">
      <c r="A295" s="67" t="s">
        <v>20</v>
      </c>
      <c r="B295" s="91" t="s">
        <v>370</v>
      </c>
      <c r="C295" s="68" t="s">
        <v>172</v>
      </c>
      <c r="D295" s="1" t="s">
        <v>371</v>
      </c>
      <c r="E295" s="68" t="s">
        <v>23</v>
      </c>
      <c r="F295" s="69">
        <v>45588.723611111112</v>
      </c>
      <c r="G295" s="68">
        <v>0</v>
      </c>
      <c r="H295" s="68" t="s">
        <v>24</v>
      </c>
      <c r="I295" s="70"/>
      <c r="J295" s="68">
        <v>1416</v>
      </c>
      <c r="K295" s="81" t="str">
        <f t="shared" si="10"/>
        <v/>
      </c>
      <c r="L295" s="68" t="s">
        <v>16</v>
      </c>
      <c r="M295" s="71"/>
      <c r="O295" s="16" t="str">
        <f t="shared" si="12"/>
        <v/>
      </c>
    </row>
    <row r="296" spans="1:15" ht="15" customHeight="1" x14ac:dyDescent="0.3">
      <c r="A296" s="67" t="s">
        <v>212</v>
      </c>
      <c r="B296" s="91" t="s">
        <v>821</v>
      </c>
      <c r="C296" s="68" t="s">
        <v>670</v>
      </c>
      <c r="D296" s="84" t="s">
        <v>822</v>
      </c>
      <c r="E296" s="68" t="s">
        <v>27</v>
      </c>
      <c r="F296" s="69">
        <v>45596.613194444442</v>
      </c>
      <c r="G296" s="68">
        <v>1432</v>
      </c>
      <c r="H296" s="68" t="s">
        <v>24</v>
      </c>
      <c r="I296" s="79">
        <v>45600.467361111114</v>
      </c>
      <c r="J296" s="68">
        <v>1418</v>
      </c>
      <c r="K296" s="81" t="str">
        <f t="shared" si="10"/>
        <v>OUI</v>
      </c>
      <c r="L296" s="68" t="s">
        <v>16</v>
      </c>
      <c r="M296" s="71" t="s">
        <v>823</v>
      </c>
      <c r="N296" s="38">
        <v>45600</v>
      </c>
      <c r="O296" s="16" t="str">
        <f t="shared" si="12"/>
        <v>OUI</v>
      </c>
    </row>
    <row r="297" spans="1:15" ht="15" customHeight="1" x14ac:dyDescent="0.3">
      <c r="A297" s="72" t="s">
        <v>34</v>
      </c>
      <c r="B297" s="90" t="s">
        <v>824</v>
      </c>
      <c r="C297" s="73" t="s">
        <v>106</v>
      </c>
      <c r="D297" s="73" t="s">
        <v>825</v>
      </c>
      <c r="E297" s="73" t="s">
        <v>38</v>
      </c>
      <c r="F297" s="74">
        <v>45597.902083333334</v>
      </c>
      <c r="G297" s="73">
        <v>1429</v>
      </c>
      <c r="H297" s="73" t="s">
        <v>14</v>
      </c>
      <c r="I297" s="75"/>
      <c r="J297" s="73">
        <v>1419</v>
      </c>
      <c r="K297" s="81" t="str">
        <f t="shared" si="10"/>
        <v/>
      </c>
      <c r="L297" s="73" t="s">
        <v>16</v>
      </c>
      <c r="M297" s="76"/>
      <c r="O297" s="16" t="str">
        <f t="shared" si="12"/>
        <v/>
      </c>
    </row>
    <row r="298" spans="1:15" ht="15" customHeight="1" x14ac:dyDescent="0.3">
      <c r="A298" s="67" t="s">
        <v>34</v>
      </c>
      <c r="B298" s="10" t="s">
        <v>826</v>
      </c>
      <c r="C298" s="73" t="s">
        <v>109</v>
      </c>
      <c r="D298" s="68" t="s">
        <v>827</v>
      </c>
      <c r="E298" s="68" t="s">
        <v>38</v>
      </c>
      <c r="F298" s="69">
        <v>45599.709722222222</v>
      </c>
      <c r="G298" s="68">
        <v>1431</v>
      </c>
      <c r="H298" s="68" t="s">
        <v>14</v>
      </c>
      <c r="I298" s="70"/>
      <c r="J298" s="68">
        <v>1420</v>
      </c>
      <c r="K298" s="81" t="str">
        <f t="shared" si="10"/>
        <v/>
      </c>
      <c r="L298" s="68" t="s">
        <v>16</v>
      </c>
      <c r="M298" s="71"/>
      <c r="O298" s="16" t="str">
        <f t="shared" si="12"/>
        <v/>
      </c>
    </row>
    <row r="299" spans="1:15" ht="15" customHeight="1" x14ac:dyDescent="0.3">
      <c r="A299" s="72" t="s">
        <v>10</v>
      </c>
      <c r="B299" s="94" t="s">
        <v>828</v>
      </c>
      <c r="C299" s="73" t="s">
        <v>802</v>
      </c>
      <c r="D299" s="73" t="s">
        <v>829</v>
      </c>
      <c r="E299" s="73" t="s">
        <v>13</v>
      </c>
      <c r="F299" s="74">
        <v>45603.4375</v>
      </c>
      <c r="G299" s="73">
        <v>1434</v>
      </c>
      <c r="H299" s="73" t="s">
        <v>14</v>
      </c>
      <c r="I299" s="75"/>
      <c r="J299" s="73">
        <v>1421</v>
      </c>
      <c r="K299" s="81" t="str">
        <f t="shared" si="10"/>
        <v/>
      </c>
      <c r="L299" s="73" t="s">
        <v>16</v>
      </c>
      <c r="M299" s="76"/>
      <c r="O299" s="16" t="str">
        <f t="shared" si="12"/>
        <v/>
      </c>
    </row>
    <row r="300" spans="1:15" ht="15" customHeight="1" x14ac:dyDescent="0.3">
      <c r="A300" s="72" t="s">
        <v>10</v>
      </c>
      <c r="B300" s="97" t="s">
        <v>828</v>
      </c>
      <c r="C300" s="73" t="s">
        <v>802</v>
      </c>
      <c r="D300" s="73" t="s">
        <v>830</v>
      </c>
      <c r="E300" s="73" t="s">
        <v>13</v>
      </c>
      <c r="F300" s="74">
        <v>45603.620138888888</v>
      </c>
      <c r="G300" s="73">
        <v>1436</v>
      </c>
      <c r="H300" s="73" t="s">
        <v>14</v>
      </c>
      <c r="I300" s="75"/>
      <c r="J300" s="73">
        <v>1422</v>
      </c>
      <c r="K300" s="81" t="str">
        <f t="shared" si="10"/>
        <v/>
      </c>
      <c r="L300" s="73" t="s">
        <v>16</v>
      </c>
      <c r="M300" s="76"/>
      <c r="O300" s="16" t="str">
        <f t="shared" si="12"/>
        <v/>
      </c>
    </row>
    <row r="301" spans="1:15" ht="15" customHeight="1" x14ac:dyDescent="0.3">
      <c r="A301" s="72" t="s">
        <v>34</v>
      </c>
      <c r="B301" s="90" t="s">
        <v>831</v>
      </c>
      <c r="C301" s="73" t="s">
        <v>398</v>
      </c>
      <c r="D301" s="73" t="s">
        <v>832</v>
      </c>
      <c r="E301" s="73" t="s">
        <v>38</v>
      </c>
      <c r="F301" s="74">
        <v>45607.607638888891</v>
      </c>
      <c r="G301" s="73">
        <v>1438</v>
      </c>
      <c r="H301" s="73" t="s">
        <v>14</v>
      </c>
      <c r="I301" s="75"/>
      <c r="J301" s="73">
        <v>1423</v>
      </c>
      <c r="K301" s="81" t="str">
        <f t="shared" si="10"/>
        <v/>
      </c>
      <c r="L301" s="73" t="s">
        <v>16</v>
      </c>
      <c r="M301" s="76"/>
      <c r="O301" s="16" t="str">
        <f t="shared" si="12"/>
        <v/>
      </c>
    </row>
    <row r="302" spans="1:15" ht="15" customHeight="1" x14ac:dyDescent="0.3">
      <c r="A302" s="67" t="s">
        <v>34</v>
      </c>
      <c r="B302" s="10" t="s">
        <v>833</v>
      </c>
      <c r="C302" s="68" t="s">
        <v>63</v>
      </c>
      <c r="D302" s="68" t="s">
        <v>834</v>
      </c>
      <c r="E302" s="68" t="s">
        <v>38</v>
      </c>
      <c r="F302" s="69">
        <v>45607.710416666669</v>
      </c>
      <c r="G302" s="68">
        <v>1440</v>
      </c>
      <c r="H302" s="68" t="s">
        <v>14</v>
      </c>
      <c r="I302" s="70"/>
      <c r="J302" s="68">
        <v>1424</v>
      </c>
      <c r="K302" s="81" t="str">
        <f t="shared" si="10"/>
        <v/>
      </c>
      <c r="L302" s="68" t="s">
        <v>16</v>
      </c>
      <c r="M302" s="71"/>
      <c r="O302" s="16" t="str">
        <f t="shared" si="12"/>
        <v/>
      </c>
    </row>
    <row r="303" spans="1:15" ht="15" customHeight="1" x14ac:dyDescent="0.3">
      <c r="A303" s="72" t="s">
        <v>10</v>
      </c>
      <c r="B303" s="90" t="s">
        <v>835</v>
      </c>
      <c r="C303" s="1" t="s">
        <v>106</v>
      </c>
      <c r="D303" s="1" t="s">
        <v>836</v>
      </c>
      <c r="E303" s="73" t="s">
        <v>13</v>
      </c>
      <c r="F303" s="74">
        <v>45608.626388888886</v>
      </c>
      <c r="G303" s="73">
        <v>0</v>
      </c>
      <c r="H303" s="73" t="s">
        <v>24</v>
      </c>
      <c r="I303" s="75"/>
      <c r="J303" s="73">
        <v>1425</v>
      </c>
      <c r="K303" s="81" t="str">
        <f t="shared" si="10"/>
        <v/>
      </c>
      <c r="L303" s="73" t="s">
        <v>16</v>
      </c>
      <c r="M303" s="76"/>
      <c r="O303" s="16" t="str">
        <f t="shared" si="12"/>
        <v/>
      </c>
    </row>
    <row r="304" spans="1:15" ht="15" customHeight="1" x14ac:dyDescent="0.3">
      <c r="A304" s="67" t="s">
        <v>209</v>
      </c>
      <c r="B304" s="10" t="s">
        <v>837</v>
      </c>
      <c r="C304" s="1" t="s">
        <v>670</v>
      </c>
      <c r="D304" t="s">
        <v>838</v>
      </c>
      <c r="E304" s="68" t="s">
        <v>57</v>
      </c>
      <c r="F304" s="69">
        <v>45609.418055555558</v>
      </c>
      <c r="G304" s="68">
        <v>1442</v>
      </c>
      <c r="H304" s="68" t="s">
        <v>14</v>
      </c>
      <c r="I304" s="79">
        <v>45679.375081018516</v>
      </c>
      <c r="J304" s="68">
        <v>1426</v>
      </c>
      <c r="K304" s="81" t="str">
        <f t="shared" si="10"/>
        <v>OUI</v>
      </c>
      <c r="L304" s="68" t="s">
        <v>16</v>
      </c>
      <c r="M304" s="96" t="s">
        <v>839</v>
      </c>
      <c r="N304" s="38">
        <v>45638</v>
      </c>
      <c r="O304" s="16" t="str">
        <f t="shared" si="12"/>
        <v>OUI</v>
      </c>
    </row>
    <row r="305" spans="1:15" ht="15" customHeight="1" x14ac:dyDescent="0.3">
      <c r="A305" s="67" t="s">
        <v>99</v>
      </c>
      <c r="B305" s="10" t="s">
        <v>840</v>
      </c>
      <c r="C305" s="68" t="s">
        <v>597</v>
      </c>
      <c r="D305" s="68" t="s">
        <v>841</v>
      </c>
      <c r="E305" s="68" t="s">
        <v>13</v>
      </c>
      <c r="F305" s="69">
        <v>45610.427777777775</v>
      </c>
      <c r="G305" s="68">
        <v>0</v>
      </c>
      <c r="H305" s="68" t="s">
        <v>24</v>
      </c>
      <c r="I305" s="70"/>
      <c r="J305" s="68">
        <v>1427</v>
      </c>
      <c r="K305" s="81" t="str">
        <f t="shared" si="10"/>
        <v/>
      </c>
      <c r="L305" s="68" t="s">
        <v>16</v>
      </c>
      <c r="M305" s="71"/>
      <c r="O305" s="16" t="str">
        <f t="shared" si="12"/>
        <v/>
      </c>
    </row>
    <row r="306" spans="1:15" ht="15" customHeight="1" x14ac:dyDescent="0.3">
      <c r="A306" s="67" t="s">
        <v>10</v>
      </c>
      <c r="B306" s="91" t="s">
        <v>842</v>
      </c>
      <c r="C306" s="68" t="s">
        <v>106</v>
      </c>
      <c r="D306" s="1" t="s">
        <v>843</v>
      </c>
      <c r="E306" s="68" t="s">
        <v>13</v>
      </c>
      <c r="F306" s="69">
        <v>45615.408333333333</v>
      </c>
      <c r="G306" s="68">
        <v>1444</v>
      </c>
      <c r="H306" s="68" t="s">
        <v>14</v>
      </c>
      <c r="I306" s="70"/>
      <c r="J306" s="68">
        <v>1428</v>
      </c>
      <c r="K306" s="81" t="str">
        <f t="shared" si="10"/>
        <v/>
      </c>
      <c r="L306" s="68" t="s">
        <v>16</v>
      </c>
      <c r="M306" s="71"/>
      <c r="O306" s="16" t="str">
        <f t="shared" si="12"/>
        <v/>
      </c>
    </row>
    <row r="307" spans="1:15" ht="15" customHeight="1" x14ac:dyDescent="0.3">
      <c r="A307" s="67" t="s">
        <v>34</v>
      </c>
      <c r="B307" s="91" t="s">
        <v>844</v>
      </c>
      <c r="C307" s="68" t="s">
        <v>206</v>
      </c>
      <c r="D307" s="84" t="s">
        <v>845</v>
      </c>
      <c r="E307" s="68" t="s">
        <v>38</v>
      </c>
      <c r="F307" s="69">
        <v>45616.775694444441</v>
      </c>
      <c r="G307" s="68">
        <v>1430</v>
      </c>
      <c r="H307" s="68" t="s">
        <v>24</v>
      </c>
      <c r="I307" s="79">
        <v>45616.783333333333</v>
      </c>
      <c r="J307" s="68">
        <v>1430</v>
      </c>
      <c r="K307" s="81" t="str">
        <f t="shared" si="10"/>
        <v>OUI</v>
      </c>
      <c r="L307" s="68" t="s">
        <v>16</v>
      </c>
      <c r="M307" s="71" t="s">
        <v>846</v>
      </c>
      <c r="N307" s="38">
        <v>45630</v>
      </c>
      <c r="O307" s="16" t="str">
        <f t="shared" si="12"/>
        <v>OUI</v>
      </c>
    </row>
    <row r="308" spans="1:15" ht="15" customHeight="1" x14ac:dyDescent="0.3">
      <c r="A308" s="72" t="s">
        <v>34</v>
      </c>
      <c r="B308" s="90" t="s">
        <v>101</v>
      </c>
      <c r="C308" s="73" t="s">
        <v>88</v>
      </c>
      <c r="D308" s="1" t="s">
        <v>102</v>
      </c>
      <c r="E308" s="73" t="s">
        <v>38</v>
      </c>
      <c r="F308" s="74">
        <v>45620.905555555553</v>
      </c>
      <c r="G308" s="73">
        <v>1449</v>
      </c>
      <c r="H308" s="73" t="s">
        <v>14</v>
      </c>
      <c r="I308" s="75"/>
      <c r="J308" s="73">
        <v>1434</v>
      </c>
      <c r="K308" s="81" t="str">
        <f t="shared" si="10"/>
        <v/>
      </c>
      <c r="L308" s="73" t="s">
        <v>165</v>
      </c>
      <c r="M308" s="76"/>
      <c r="O308" s="16" t="str">
        <f t="shared" si="12"/>
        <v/>
      </c>
    </row>
    <row r="309" spans="1:15" ht="15" customHeight="1" x14ac:dyDescent="0.3">
      <c r="A309" s="67" t="s">
        <v>34</v>
      </c>
      <c r="B309" s="91" t="s">
        <v>847</v>
      </c>
      <c r="C309" s="68" t="s">
        <v>88</v>
      </c>
      <c r="D309" t="s">
        <v>848</v>
      </c>
      <c r="E309" s="68" t="s">
        <v>38</v>
      </c>
      <c r="F309" s="69">
        <v>45621.612500000003</v>
      </c>
      <c r="G309" s="68">
        <v>1451</v>
      </c>
      <c r="H309" s="68" t="s">
        <v>14</v>
      </c>
      <c r="I309" s="79">
        <v>45621.615972222222</v>
      </c>
      <c r="J309" s="68">
        <v>1435</v>
      </c>
      <c r="K309" s="81" t="str">
        <f t="shared" ref="K309:K372" si="13">IF(AND(NOT(ISBLANK(I309)), NOT(ISBLANK(M309))), "OUI", "")</f>
        <v>OUI</v>
      </c>
      <c r="L309" s="68" t="s">
        <v>16</v>
      </c>
      <c r="M309" s="71" t="s">
        <v>849</v>
      </c>
      <c r="N309" s="38">
        <v>45623</v>
      </c>
      <c r="O309" s="16" t="str">
        <f t="shared" si="12"/>
        <v>OUI</v>
      </c>
    </row>
    <row r="310" spans="1:15" ht="15" customHeight="1" x14ac:dyDescent="0.3">
      <c r="A310" s="72" t="s">
        <v>34</v>
      </c>
      <c r="B310" s="90" t="s">
        <v>83</v>
      </c>
      <c r="C310" s="73" t="s">
        <v>66</v>
      </c>
      <c r="D310" s="83" t="s">
        <v>122</v>
      </c>
      <c r="E310" s="73" t="s">
        <v>38</v>
      </c>
      <c r="F310" s="74">
        <v>45624.429861111108</v>
      </c>
      <c r="G310" s="73">
        <v>1453</v>
      </c>
      <c r="H310" s="73" t="s">
        <v>14</v>
      </c>
      <c r="I310" s="80">
        <v>45667.432881944442</v>
      </c>
      <c r="J310" s="73">
        <v>1438</v>
      </c>
      <c r="K310" s="81" t="str">
        <f t="shared" si="13"/>
        <v>OUI</v>
      </c>
      <c r="L310" s="73" t="s">
        <v>165</v>
      </c>
      <c r="M310" s="76" t="s">
        <v>181</v>
      </c>
      <c r="O310" s="16" t="str">
        <f t="shared" si="12"/>
        <v>OUI</v>
      </c>
    </row>
    <row r="311" spans="1:15" ht="15" customHeight="1" x14ac:dyDescent="0.3">
      <c r="A311" s="72" t="s">
        <v>34</v>
      </c>
      <c r="B311" s="10" t="s">
        <v>850</v>
      </c>
      <c r="C311" s="73" t="s">
        <v>36</v>
      </c>
      <c r="D311" s="1" t="s">
        <v>851</v>
      </c>
      <c r="E311" s="73" t="s">
        <v>38</v>
      </c>
      <c r="F311" s="74">
        <v>45624.521527777775</v>
      </c>
      <c r="G311" s="73">
        <v>1439</v>
      </c>
      <c r="H311" s="73" t="s">
        <v>24</v>
      </c>
      <c r="I311" s="80">
        <v>45624.55972222222</v>
      </c>
      <c r="J311" s="73">
        <v>1439</v>
      </c>
      <c r="K311" s="81" t="str">
        <f t="shared" si="13"/>
        <v>OUI</v>
      </c>
      <c r="L311" s="73" t="s">
        <v>16</v>
      </c>
      <c r="M311" s="76" t="s">
        <v>852</v>
      </c>
      <c r="N311" s="38">
        <v>45624</v>
      </c>
      <c r="O311" s="16" t="str">
        <f t="shared" si="12"/>
        <v>OUI</v>
      </c>
    </row>
    <row r="312" spans="1:15" ht="15" customHeight="1" x14ac:dyDescent="0.3">
      <c r="A312" s="67" t="s">
        <v>262</v>
      </c>
      <c r="B312" s="91" t="s">
        <v>853</v>
      </c>
      <c r="C312" s="68" t="s">
        <v>264</v>
      </c>
      <c r="D312" s="100" t="s">
        <v>854</v>
      </c>
      <c r="E312" s="68" t="s">
        <v>266</v>
      </c>
      <c r="F312" s="69">
        <v>45628.810416666667</v>
      </c>
      <c r="G312" s="68">
        <v>1454</v>
      </c>
      <c r="H312" s="68" t="s">
        <v>24</v>
      </c>
      <c r="I312" s="70"/>
      <c r="J312" s="92">
        <v>1440</v>
      </c>
      <c r="K312" s="81" t="str">
        <f t="shared" si="13"/>
        <v/>
      </c>
      <c r="L312" s="68" t="s">
        <v>16</v>
      </c>
      <c r="M312" s="96"/>
      <c r="N312" s="87">
        <v>45628</v>
      </c>
      <c r="O312" s="16" t="str">
        <f t="shared" si="12"/>
        <v>OUI</v>
      </c>
    </row>
    <row r="313" spans="1:15" ht="15" customHeight="1" x14ac:dyDescent="0.3">
      <c r="A313" s="72" t="s">
        <v>34</v>
      </c>
      <c r="B313" s="90" t="s">
        <v>855</v>
      </c>
      <c r="C313" s="73" t="s">
        <v>581</v>
      </c>
      <c r="D313" s="73" t="s">
        <v>856</v>
      </c>
      <c r="E313" s="73" t="s">
        <v>38</v>
      </c>
      <c r="F313" s="74">
        <v>45630.624305555553</v>
      </c>
      <c r="G313" s="73">
        <v>1456</v>
      </c>
      <c r="H313" s="73" t="s">
        <v>14</v>
      </c>
      <c r="I313" s="75"/>
      <c r="J313" s="73">
        <v>1441</v>
      </c>
      <c r="K313" s="81" t="str">
        <f t="shared" si="13"/>
        <v/>
      </c>
      <c r="L313" s="73" t="s">
        <v>16</v>
      </c>
      <c r="M313" s="76"/>
      <c r="O313" s="16" t="str">
        <f t="shared" si="12"/>
        <v/>
      </c>
    </row>
    <row r="314" spans="1:15" ht="15" customHeight="1" x14ac:dyDescent="0.3">
      <c r="A314" s="72" t="s">
        <v>34</v>
      </c>
      <c r="B314" s="90" t="s">
        <v>844</v>
      </c>
      <c r="C314" s="73" t="s">
        <v>206</v>
      </c>
      <c r="D314" s="73" t="s">
        <v>845</v>
      </c>
      <c r="E314" s="73" t="s">
        <v>38</v>
      </c>
      <c r="F314" s="74">
        <v>45630.62777777778</v>
      </c>
      <c r="G314" s="73">
        <v>1442</v>
      </c>
      <c r="H314" s="73" t="s">
        <v>24</v>
      </c>
      <c r="I314" s="80">
        <v>45630.629861111112</v>
      </c>
      <c r="J314" s="73">
        <v>1442</v>
      </c>
      <c r="K314" s="81" t="str">
        <f t="shared" si="13"/>
        <v>OUI</v>
      </c>
      <c r="L314" s="73" t="s">
        <v>165</v>
      </c>
      <c r="M314" s="76" t="s">
        <v>846</v>
      </c>
      <c r="N314" s="38">
        <v>45616</v>
      </c>
      <c r="O314" s="16" t="str">
        <f t="shared" si="12"/>
        <v>OUI</v>
      </c>
    </row>
    <row r="315" spans="1:15" ht="15" customHeight="1" x14ac:dyDescent="0.3">
      <c r="A315" s="72" t="s">
        <v>20</v>
      </c>
      <c r="B315" s="10" t="s">
        <v>811</v>
      </c>
      <c r="C315" s="1" t="s">
        <v>175</v>
      </c>
      <c r="D315" s="1" t="s">
        <v>812</v>
      </c>
      <c r="E315" s="73" t="s">
        <v>23</v>
      </c>
      <c r="F315" s="74">
        <v>45631.364583333336</v>
      </c>
      <c r="G315" s="73">
        <v>1443</v>
      </c>
      <c r="H315" s="73" t="s">
        <v>24</v>
      </c>
      <c r="I315" s="80">
        <v>45631.365972222222</v>
      </c>
      <c r="J315" s="73">
        <v>1443</v>
      </c>
      <c r="K315" s="81" t="str">
        <f t="shared" si="13"/>
        <v>OUI</v>
      </c>
      <c r="L315" s="73" t="s">
        <v>16</v>
      </c>
      <c r="M315" s="76" t="s">
        <v>813</v>
      </c>
      <c r="N315" s="38">
        <v>45631</v>
      </c>
      <c r="O315" s="16" t="str">
        <f t="shared" si="12"/>
        <v>OUI</v>
      </c>
    </row>
    <row r="316" spans="1:15" ht="15" customHeight="1" x14ac:dyDescent="0.3">
      <c r="A316" s="72" t="s">
        <v>262</v>
      </c>
      <c r="B316" s="90" t="s">
        <v>857</v>
      </c>
      <c r="C316" s="73" t="s">
        <v>858</v>
      </c>
      <c r="D316" s="2" t="s">
        <v>265</v>
      </c>
      <c r="E316" s="73" t="s">
        <v>266</v>
      </c>
      <c r="F316" s="74">
        <v>45631.554861111108</v>
      </c>
      <c r="G316" s="73">
        <v>1458</v>
      </c>
      <c r="H316" s="73" t="s">
        <v>14</v>
      </c>
      <c r="I316" s="80">
        <v>46107.54414351852</v>
      </c>
      <c r="J316" s="73">
        <v>1444</v>
      </c>
      <c r="K316" s="81" t="str">
        <f t="shared" si="13"/>
        <v>OUI</v>
      </c>
      <c r="L316" s="73" t="s">
        <v>165</v>
      </c>
      <c r="M316" s="76" t="s">
        <v>267</v>
      </c>
      <c r="O316" s="16" t="str">
        <f t="shared" si="12"/>
        <v>OUI</v>
      </c>
    </row>
    <row r="317" spans="1:15" ht="15" customHeight="1" x14ac:dyDescent="0.3">
      <c r="A317" s="67" t="s">
        <v>20</v>
      </c>
      <c r="B317" s="10" t="s">
        <v>859</v>
      </c>
      <c r="C317" s="68" t="s">
        <v>572</v>
      </c>
      <c r="D317" t="s">
        <v>860</v>
      </c>
      <c r="E317" s="68" t="s">
        <v>23</v>
      </c>
      <c r="F317" s="69">
        <v>45632.60833333333</v>
      </c>
      <c r="G317" s="68">
        <v>1460</v>
      </c>
      <c r="H317" s="68" t="s">
        <v>14</v>
      </c>
      <c r="I317" s="79">
        <v>45637.689837962964</v>
      </c>
      <c r="J317" s="68">
        <v>1445</v>
      </c>
      <c r="K317" s="81" t="str">
        <f t="shared" si="13"/>
        <v>OUI</v>
      </c>
      <c r="L317" s="68" t="s">
        <v>16</v>
      </c>
      <c r="M317" s="71" t="s">
        <v>861</v>
      </c>
      <c r="N317" s="38">
        <v>45637</v>
      </c>
      <c r="O317" s="16" t="str">
        <f t="shared" si="12"/>
        <v>OUI</v>
      </c>
    </row>
    <row r="318" spans="1:15" ht="15" customHeight="1" x14ac:dyDescent="0.3">
      <c r="A318" s="72" t="s">
        <v>17</v>
      </c>
      <c r="B318" s="90" t="s">
        <v>862</v>
      </c>
      <c r="C318" s="1" t="s">
        <v>863</v>
      </c>
      <c r="D318" s="83" t="s">
        <v>864</v>
      </c>
      <c r="E318" s="73" t="s">
        <v>19</v>
      </c>
      <c r="F318" s="74">
        <v>45635.556944444441</v>
      </c>
      <c r="G318" s="73">
        <v>1462</v>
      </c>
      <c r="H318" s="73" t="s">
        <v>14</v>
      </c>
      <c r="I318" s="75"/>
      <c r="J318" s="73">
        <v>1446</v>
      </c>
      <c r="K318" s="81" t="str">
        <f t="shared" si="13"/>
        <v/>
      </c>
      <c r="L318" s="73" t="s">
        <v>16</v>
      </c>
      <c r="M318" s="76"/>
      <c r="O318" s="16" t="str">
        <f t="shared" si="12"/>
        <v/>
      </c>
    </row>
    <row r="319" spans="1:15" ht="15" customHeight="1" x14ac:dyDescent="0.3">
      <c r="A319" s="72" t="s">
        <v>28</v>
      </c>
      <c r="B319" s="10" t="s">
        <v>865</v>
      </c>
      <c r="C319" s="1" t="s">
        <v>629</v>
      </c>
      <c r="D319" s="1" t="s">
        <v>866</v>
      </c>
      <c r="E319" s="73" t="s">
        <v>31</v>
      </c>
      <c r="F319" s="74">
        <v>45635.570138888892</v>
      </c>
      <c r="G319" s="73">
        <v>1464</v>
      </c>
      <c r="H319" s="73" t="s">
        <v>14</v>
      </c>
      <c r="I319" s="75"/>
      <c r="J319" s="73">
        <v>1447</v>
      </c>
      <c r="K319" s="81" t="str">
        <f t="shared" si="13"/>
        <v/>
      </c>
      <c r="L319" s="73" t="s">
        <v>16</v>
      </c>
      <c r="M319" s="76"/>
      <c r="O319" s="16" t="str">
        <f t="shared" si="12"/>
        <v/>
      </c>
    </row>
    <row r="320" spans="1:15" ht="15" customHeight="1" x14ac:dyDescent="0.3">
      <c r="A320" s="67" t="s">
        <v>99</v>
      </c>
      <c r="B320" s="91" t="s">
        <v>867</v>
      </c>
      <c r="C320" s="68" t="s">
        <v>63</v>
      </c>
      <c r="D320" s="84" t="s">
        <v>868</v>
      </c>
      <c r="E320" s="68" t="s">
        <v>13</v>
      </c>
      <c r="F320" s="69">
        <v>45637.561111111114</v>
      </c>
      <c r="G320" s="68">
        <v>1466</v>
      </c>
      <c r="H320" s="68" t="s">
        <v>14</v>
      </c>
      <c r="I320" s="70"/>
      <c r="J320" s="68">
        <v>1448</v>
      </c>
      <c r="K320" s="81" t="str">
        <f t="shared" si="13"/>
        <v/>
      </c>
      <c r="L320" s="68" t="s">
        <v>16</v>
      </c>
      <c r="M320" s="71"/>
      <c r="O320" s="16" t="str">
        <f t="shared" si="12"/>
        <v/>
      </c>
    </row>
    <row r="321" spans="1:15" ht="15" customHeight="1" x14ac:dyDescent="0.3">
      <c r="A321" s="72" t="s">
        <v>34</v>
      </c>
      <c r="B321" s="10" t="s">
        <v>869</v>
      </c>
      <c r="C321" s="73" t="s">
        <v>294</v>
      </c>
      <c r="D321" s="1" t="s">
        <v>870</v>
      </c>
      <c r="E321" s="73" t="s">
        <v>38</v>
      </c>
      <c r="F321" s="74">
        <v>45638.583333333336</v>
      </c>
      <c r="G321" s="73">
        <v>1468</v>
      </c>
      <c r="H321" s="73" t="s">
        <v>14</v>
      </c>
      <c r="I321" s="75"/>
      <c r="J321" s="73">
        <v>1449</v>
      </c>
      <c r="K321" s="81" t="str">
        <f t="shared" si="13"/>
        <v/>
      </c>
      <c r="L321" s="73" t="s">
        <v>16</v>
      </c>
      <c r="M321" s="76"/>
      <c r="O321" s="16" t="str">
        <f t="shared" si="12"/>
        <v/>
      </c>
    </row>
    <row r="322" spans="1:15" ht="15" customHeight="1" x14ac:dyDescent="0.3">
      <c r="A322" s="72" t="s">
        <v>10</v>
      </c>
      <c r="B322" s="90" t="s">
        <v>871</v>
      </c>
      <c r="C322" s="73" t="s">
        <v>562</v>
      </c>
      <c r="D322" s="83" t="s">
        <v>872</v>
      </c>
      <c r="E322" s="73" t="s">
        <v>13</v>
      </c>
      <c r="F322" s="74">
        <v>45642.404166666667</v>
      </c>
      <c r="G322" s="73">
        <v>1470</v>
      </c>
      <c r="H322" s="73" t="s">
        <v>14</v>
      </c>
      <c r="I322" s="80">
        <v>45663.508668981478</v>
      </c>
      <c r="J322" s="73">
        <v>1451</v>
      </c>
      <c r="K322" s="81" t="str">
        <f t="shared" si="13"/>
        <v>OUI</v>
      </c>
      <c r="L322" s="73" t="s">
        <v>16</v>
      </c>
      <c r="M322" s="76" t="s">
        <v>873</v>
      </c>
      <c r="N322" s="87">
        <v>45960</v>
      </c>
      <c r="O322" s="16" t="str">
        <f t="shared" si="12"/>
        <v>OUI</v>
      </c>
    </row>
    <row r="323" spans="1:15" ht="15" customHeight="1" x14ac:dyDescent="0.3">
      <c r="A323" s="67" t="s">
        <v>209</v>
      </c>
      <c r="B323" s="91" t="s">
        <v>874</v>
      </c>
      <c r="C323" s="68" t="s">
        <v>361</v>
      </c>
      <c r="D323" t="s">
        <v>875</v>
      </c>
      <c r="E323" s="68" t="s">
        <v>57</v>
      </c>
      <c r="F323" s="69">
        <v>45642.559027777781</v>
      </c>
      <c r="G323" s="68">
        <v>1472</v>
      </c>
      <c r="H323" s="68" t="s">
        <v>14</v>
      </c>
      <c r="I323" s="79">
        <v>45721.562141203707</v>
      </c>
      <c r="J323" s="68">
        <v>1452</v>
      </c>
      <c r="K323" s="81" t="str">
        <f t="shared" si="13"/>
        <v>OUI</v>
      </c>
      <c r="L323" s="68" t="s">
        <v>16</v>
      </c>
      <c r="M323" s="96" t="s">
        <v>876</v>
      </c>
      <c r="N323" s="38">
        <v>45328</v>
      </c>
      <c r="O323" s="16" t="str">
        <f t="shared" si="12"/>
        <v>OUI</v>
      </c>
    </row>
    <row r="324" spans="1:15" ht="15" customHeight="1" x14ac:dyDescent="0.3">
      <c r="A324" s="67" t="s">
        <v>34</v>
      </c>
      <c r="B324" s="91" t="s">
        <v>877</v>
      </c>
      <c r="C324" s="68" t="s">
        <v>66</v>
      </c>
      <c r="D324" s="84" t="s">
        <v>878</v>
      </c>
      <c r="E324" s="68" t="s">
        <v>38</v>
      </c>
      <c r="F324" s="69">
        <v>45644.629861111112</v>
      </c>
      <c r="G324" s="68">
        <v>1453</v>
      </c>
      <c r="H324" s="68" t="s">
        <v>24</v>
      </c>
      <c r="I324" s="79">
        <v>45644.633333333331</v>
      </c>
      <c r="J324" s="68">
        <v>1453</v>
      </c>
      <c r="K324" s="81" t="str">
        <f t="shared" si="13"/>
        <v>OUI</v>
      </c>
      <c r="L324" s="68" t="s">
        <v>16</v>
      </c>
      <c r="M324" s="71" t="s">
        <v>879</v>
      </c>
      <c r="N324" s="38">
        <v>45644</v>
      </c>
      <c r="O324" s="16" t="str">
        <f t="shared" si="12"/>
        <v>OUI</v>
      </c>
    </row>
    <row r="325" spans="1:15" ht="15" customHeight="1" x14ac:dyDescent="0.3">
      <c r="A325" s="67" t="s">
        <v>34</v>
      </c>
      <c r="B325" s="10" t="s">
        <v>880</v>
      </c>
      <c r="C325" s="1" t="s">
        <v>26</v>
      </c>
      <c r="D325" s="68" t="s">
        <v>881</v>
      </c>
      <c r="E325" s="68" t="s">
        <v>38</v>
      </c>
      <c r="F325" s="69">
        <v>45644.635416666664</v>
      </c>
      <c r="G325" s="68">
        <v>1474</v>
      </c>
      <c r="H325" s="68" t="s">
        <v>14</v>
      </c>
      <c r="I325" s="79">
        <v>45665.591145833336</v>
      </c>
      <c r="J325" s="68">
        <v>1454</v>
      </c>
      <c r="K325" s="81" t="str">
        <f t="shared" si="13"/>
        <v>OUI</v>
      </c>
      <c r="L325" s="68" t="s">
        <v>16</v>
      </c>
      <c r="M325" s="71" t="s">
        <v>882</v>
      </c>
      <c r="N325" s="38">
        <v>45665</v>
      </c>
      <c r="O325" s="16" t="str">
        <f t="shared" si="12"/>
        <v>OUI</v>
      </c>
    </row>
    <row r="326" spans="1:15" ht="15" customHeight="1" x14ac:dyDescent="0.3">
      <c r="A326" s="67" t="s">
        <v>99</v>
      </c>
      <c r="B326" s="91" t="s">
        <v>883</v>
      </c>
      <c r="C326" s="68" t="s">
        <v>572</v>
      </c>
      <c r="D326" s="68" t="s">
        <v>884</v>
      </c>
      <c r="E326" s="68" t="s">
        <v>13</v>
      </c>
      <c r="F326" s="69">
        <v>45649.557638888888</v>
      </c>
      <c r="G326" s="68">
        <v>1476</v>
      </c>
      <c r="H326" s="68" t="s">
        <v>14</v>
      </c>
      <c r="I326" s="79">
        <v>45721.524814814817</v>
      </c>
      <c r="J326" s="68">
        <v>1455</v>
      </c>
      <c r="K326" s="81" t="str">
        <f t="shared" si="13"/>
        <v>OUI</v>
      </c>
      <c r="L326" s="68" t="s">
        <v>16</v>
      </c>
      <c r="M326" s="95" t="s">
        <v>885</v>
      </c>
      <c r="N326" s="86"/>
      <c r="O326" s="16" t="str">
        <f t="shared" si="12"/>
        <v>OUI</v>
      </c>
    </row>
    <row r="327" spans="1:15" ht="15" customHeight="1" x14ac:dyDescent="0.3">
      <c r="A327" s="67" t="s">
        <v>34</v>
      </c>
      <c r="B327" s="91" t="s">
        <v>886</v>
      </c>
      <c r="C327" s="68" t="s">
        <v>26</v>
      </c>
      <c r="D327" s="68" t="s">
        <v>887</v>
      </c>
      <c r="E327" s="68" t="s">
        <v>38</v>
      </c>
      <c r="F327" s="69">
        <v>45659.338194444441</v>
      </c>
      <c r="G327" s="68">
        <v>1467</v>
      </c>
      <c r="H327" s="68" t="s">
        <v>24</v>
      </c>
      <c r="I327" s="79">
        <v>45659.347916666666</v>
      </c>
      <c r="J327" s="68">
        <v>1467</v>
      </c>
      <c r="K327" s="81" t="str">
        <f t="shared" si="13"/>
        <v>OUI</v>
      </c>
      <c r="L327" s="68" t="s">
        <v>16</v>
      </c>
      <c r="M327" s="71" t="s">
        <v>888</v>
      </c>
      <c r="N327" s="38">
        <v>45659</v>
      </c>
      <c r="O327" s="16" t="str">
        <f t="shared" si="12"/>
        <v>OUI</v>
      </c>
    </row>
    <row r="328" spans="1:15" ht="15" customHeight="1" x14ac:dyDescent="0.3">
      <c r="A328" s="72" t="s">
        <v>212</v>
      </c>
      <c r="B328" s="90" t="s">
        <v>889</v>
      </c>
      <c r="C328" s="73" t="s">
        <v>597</v>
      </c>
      <c r="D328" t="s">
        <v>890</v>
      </c>
      <c r="E328" s="78" t="s">
        <v>27</v>
      </c>
      <c r="F328" s="74">
        <v>45661.791666666664</v>
      </c>
      <c r="G328" s="73">
        <v>1481</v>
      </c>
      <c r="H328" s="73" t="s">
        <v>24</v>
      </c>
      <c r="I328" s="75"/>
      <c r="J328" s="73">
        <v>1473</v>
      </c>
      <c r="K328" s="81" t="str">
        <f t="shared" si="13"/>
        <v/>
      </c>
      <c r="L328" s="73" t="s">
        <v>16</v>
      </c>
      <c r="M328" s="76"/>
      <c r="O328" s="16" t="str">
        <f t="shared" si="12"/>
        <v/>
      </c>
    </row>
    <row r="329" spans="1:15" ht="15" customHeight="1" x14ac:dyDescent="0.3">
      <c r="A329" s="67" t="s">
        <v>34</v>
      </c>
      <c r="B329" s="10" t="s">
        <v>889</v>
      </c>
      <c r="C329" s="68" t="s">
        <v>597</v>
      </c>
      <c r="D329" s="77" t="s">
        <v>890</v>
      </c>
      <c r="E329" s="77" t="s">
        <v>38</v>
      </c>
      <c r="F329" s="69">
        <v>45640.936111111114</v>
      </c>
      <c r="G329" s="68">
        <v>1474</v>
      </c>
      <c r="H329" s="68" t="s">
        <v>24</v>
      </c>
      <c r="I329" s="79">
        <v>45661.793055555558</v>
      </c>
      <c r="J329" s="68">
        <v>1474</v>
      </c>
      <c r="K329" s="81" t="str">
        <f t="shared" si="13"/>
        <v>OUI</v>
      </c>
      <c r="L329" s="68" t="s">
        <v>16</v>
      </c>
      <c r="M329" s="71" t="s">
        <v>891</v>
      </c>
      <c r="N329" s="38">
        <v>45640</v>
      </c>
      <c r="O329" s="16" t="str">
        <f t="shared" si="12"/>
        <v>OUI</v>
      </c>
    </row>
    <row r="330" spans="1:15" ht="15" customHeight="1" x14ac:dyDescent="0.3">
      <c r="A330" s="72" t="s">
        <v>99</v>
      </c>
      <c r="B330" s="90" t="s">
        <v>883</v>
      </c>
      <c r="C330" s="73" t="s">
        <v>572</v>
      </c>
      <c r="D330" s="1" t="s">
        <v>892</v>
      </c>
      <c r="E330" s="73" t="s">
        <v>13</v>
      </c>
      <c r="F330" s="74">
        <v>45663.496527777781</v>
      </c>
      <c r="G330" s="73">
        <v>1483</v>
      </c>
      <c r="H330" s="73" t="s">
        <v>14</v>
      </c>
      <c r="I330" s="75"/>
      <c r="J330" s="78">
        <v>1475</v>
      </c>
      <c r="K330" s="81" t="str">
        <f t="shared" si="13"/>
        <v/>
      </c>
      <c r="L330" s="73" t="s">
        <v>16</v>
      </c>
      <c r="M330" s="88" t="s">
        <v>893</v>
      </c>
      <c r="N330" s="38">
        <v>45693</v>
      </c>
      <c r="O330" s="16" t="str">
        <f t="shared" si="12"/>
        <v>OUI</v>
      </c>
    </row>
    <row r="331" spans="1:15" ht="15" customHeight="1" x14ac:dyDescent="0.3">
      <c r="A331" s="72" t="s">
        <v>20</v>
      </c>
      <c r="B331" s="90" t="s">
        <v>507</v>
      </c>
      <c r="C331" s="73" t="s">
        <v>175</v>
      </c>
      <c r="D331" t="s">
        <v>508</v>
      </c>
      <c r="E331" s="73" t="s">
        <v>23</v>
      </c>
      <c r="F331" s="74">
        <v>45664.290972222225</v>
      </c>
      <c r="G331" s="73">
        <v>1479</v>
      </c>
      <c r="H331" s="73" t="s">
        <v>24</v>
      </c>
      <c r="I331" s="80">
        <v>45664.291666666664</v>
      </c>
      <c r="J331" s="73">
        <v>1479</v>
      </c>
      <c r="K331" s="81" t="str">
        <f t="shared" si="13"/>
        <v>OUI</v>
      </c>
      <c r="L331" s="73" t="s">
        <v>165</v>
      </c>
      <c r="M331" s="76" t="s">
        <v>894</v>
      </c>
      <c r="N331" s="38">
        <v>45664</v>
      </c>
      <c r="O331" s="16" t="str">
        <f t="shared" si="12"/>
        <v>OUI</v>
      </c>
    </row>
    <row r="332" spans="1:15" ht="15" customHeight="1" x14ac:dyDescent="0.3">
      <c r="A332" s="72" t="s">
        <v>58</v>
      </c>
      <c r="B332" s="90" t="s">
        <v>895</v>
      </c>
      <c r="C332" s="73" t="s">
        <v>320</v>
      </c>
      <c r="D332" t="s">
        <v>896</v>
      </c>
      <c r="E332" s="73" t="s">
        <v>61</v>
      </c>
      <c r="F332" s="74">
        <v>45664.511805555558</v>
      </c>
      <c r="G332" s="73">
        <v>1490</v>
      </c>
      <c r="H332" s="73" t="s">
        <v>14</v>
      </c>
      <c r="I332" s="80">
        <v>45667.428472222222</v>
      </c>
      <c r="J332" s="73">
        <v>1480</v>
      </c>
      <c r="K332" s="81" t="str">
        <f t="shared" si="13"/>
        <v>OUI</v>
      </c>
      <c r="L332" s="73" t="s">
        <v>16</v>
      </c>
      <c r="M332" s="76" t="s">
        <v>897</v>
      </c>
      <c r="N332" s="38">
        <v>45667</v>
      </c>
      <c r="O332" s="16" t="str">
        <f t="shared" ref="O332:O381" si="14">IF(AND(ISBLANK(I332), ISBLANK(N332)), "", "OUI")</f>
        <v>OUI</v>
      </c>
    </row>
    <row r="333" spans="1:15" ht="15" customHeight="1" x14ac:dyDescent="0.3">
      <c r="A333" s="67" t="s">
        <v>209</v>
      </c>
      <c r="B333" s="91" t="s">
        <v>898</v>
      </c>
      <c r="C333" s="68" t="s">
        <v>109</v>
      </c>
      <c r="D333" s="68" t="s">
        <v>899</v>
      </c>
      <c r="E333" s="68" t="s">
        <v>57</v>
      </c>
      <c r="F333" s="69">
        <v>45664.655555555553</v>
      </c>
      <c r="G333" s="68">
        <v>1492</v>
      </c>
      <c r="H333" s="68" t="s">
        <v>14</v>
      </c>
      <c r="I333" s="79">
        <v>45670.478263888886</v>
      </c>
      <c r="J333" s="68">
        <v>1481</v>
      </c>
      <c r="K333" s="81" t="str">
        <f t="shared" si="13"/>
        <v>OUI</v>
      </c>
      <c r="L333" s="68" t="s">
        <v>16</v>
      </c>
      <c r="M333" s="71" t="s">
        <v>900</v>
      </c>
      <c r="N333" s="38">
        <v>45664</v>
      </c>
      <c r="O333" s="16" t="str">
        <f t="shared" si="14"/>
        <v>OUI</v>
      </c>
    </row>
    <row r="334" spans="1:15" ht="15" customHeight="1" x14ac:dyDescent="0.3">
      <c r="A334" s="72" t="s">
        <v>34</v>
      </c>
      <c r="B334" s="90" t="s">
        <v>736</v>
      </c>
      <c r="C334" s="73" t="s">
        <v>66</v>
      </c>
      <c r="D334" s="73" t="s">
        <v>737</v>
      </c>
      <c r="E334" s="73" t="s">
        <v>38</v>
      </c>
      <c r="F334" s="74">
        <v>45666.296527777777</v>
      </c>
      <c r="G334" s="73">
        <v>1483</v>
      </c>
      <c r="H334" s="73" t="s">
        <v>24</v>
      </c>
      <c r="I334" s="80">
        <v>45666.29791666667</v>
      </c>
      <c r="J334" s="73">
        <v>1483</v>
      </c>
      <c r="K334" s="81" t="str">
        <f t="shared" si="13"/>
        <v>OUI</v>
      </c>
      <c r="L334" s="73" t="s">
        <v>165</v>
      </c>
      <c r="M334" s="76" t="s">
        <v>901</v>
      </c>
      <c r="N334" s="38">
        <v>45666</v>
      </c>
      <c r="O334" s="16" t="str">
        <f t="shared" si="14"/>
        <v>OUI</v>
      </c>
    </row>
    <row r="335" spans="1:15" ht="15" customHeight="1" x14ac:dyDescent="0.3">
      <c r="A335" s="72" t="s">
        <v>34</v>
      </c>
      <c r="B335" s="90" t="s">
        <v>599</v>
      </c>
      <c r="C335" s="73" t="s">
        <v>404</v>
      </c>
      <c r="D335" s="73" t="s">
        <v>902</v>
      </c>
      <c r="E335" s="73" t="s">
        <v>38</v>
      </c>
      <c r="F335" s="74">
        <v>45666.347916666666</v>
      </c>
      <c r="G335" s="73">
        <v>1494</v>
      </c>
      <c r="H335" s="73" t="s">
        <v>14</v>
      </c>
      <c r="I335" s="80">
        <v>45975.719849537039</v>
      </c>
      <c r="J335" s="73">
        <v>1484</v>
      </c>
      <c r="K335" s="81" t="str">
        <f t="shared" si="13"/>
        <v>OUI</v>
      </c>
      <c r="L335" s="73" t="s">
        <v>16</v>
      </c>
      <c r="M335" s="76" t="s">
        <v>903</v>
      </c>
      <c r="N335" s="38">
        <v>45947</v>
      </c>
      <c r="O335" s="16" t="str">
        <f t="shared" si="14"/>
        <v>OUI</v>
      </c>
    </row>
    <row r="336" spans="1:15" ht="15" customHeight="1" x14ac:dyDescent="0.3">
      <c r="A336" s="72" t="s">
        <v>34</v>
      </c>
      <c r="B336" s="10" t="s">
        <v>904</v>
      </c>
      <c r="C336" s="1" t="s">
        <v>36</v>
      </c>
      <c r="D336" s="1" t="s">
        <v>905</v>
      </c>
      <c r="E336" s="73" t="s">
        <v>38</v>
      </c>
      <c r="F336" s="74">
        <v>45666.368750000001</v>
      </c>
      <c r="G336" s="73">
        <v>1496</v>
      </c>
      <c r="H336" s="73" t="s">
        <v>14</v>
      </c>
      <c r="I336" s="80">
        <v>45670.425138888888</v>
      </c>
      <c r="J336" s="73">
        <v>1485</v>
      </c>
      <c r="K336" s="81" t="str">
        <f t="shared" si="13"/>
        <v>OUI</v>
      </c>
      <c r="L336" s="73" t="s">
        <v>16</v>
      </c>
      <c r="M336" s="76" t="s">
        <v>906</v>
      </c>
      <c r="N336" s="38">
        <v>45667</v>
      </c>
      <c r="O336" s="16" t="str">
        <f t="shared" si="14"/>
        <v>OUI</v>
      </c>
    </row>
    <row r="337" spans="1:15" ht="15" customHeight="1" x14ac:dyDescent="0.3">
      <c r="A337" s="72" t="s">
        <v>99</v>
      </c>
      <c r="B337" s="90" t="s">
        <v>907</v>
      </c>
      <c r="C337" s="73" t="s">
        <v>908</v>
      </c>
      <c r="D337" t="s">
        <v>909</v>
      </c>
      <c r="E337" s="73" t="s">
        <v>13</v>
      </c>
      <c r="F337" s="74">
        <v>45670.706944444442</v>
      </c>
      <c r="G337" s="73">
        <v>1502</v>
      </c>
      <c r="H337" s="73" t="s">
        <v>14</v>
      </c>
      <c r="I337" s="75"/>
      <c r="J337" s="73">
        <v>1494</v>
      </c>
      <c r="K337" s="81" t="str">
        <f t="shared" si="13"/>
        <v/>
      </c>
      <c r="L337" s="73" t="s">
        <v>16</v>
      </c>
      <c r="M337" s="76"/>
      <c r="O337" s="16" t="str">
        <f t="shared" si="14"/>
        <v/>
      </c>
    </row>
    <row r="338" spans="1:15" ht="15" customHeight="1" x14ac:dyDescent="0.3">
      <c r="A338" s="72" t="s">
        <v>34</v>
      </c>
      <c r="B338" s="90" t="s">
        <v>910</v>
      </c>
      <c r="C338" s="1" t="s">
        <v>66</v>
      </c>
      <c r="D338" s="73" t="s">
        <v>911</v>
      </c>
      <c r="E338" s="73" t="s">
        <v>38</v>
      </c>
      <c r="F338" s="74">
        <v>45672.727083333331</v>
      </c>
      <c r="G338" s="73">
        <v>1499</v>
      </c>
      <c r="H338" s="73" t="s">
        <v>24</v>
      </c>
      <c r="I338" s="80">
        <v>45672.736805555556</v>
      </c>
      <c r="J338" s="73">
        <v>1499</v>
      </c>
      <c r="K338" s="81" t="str">
        <f t="shared" si="13"/>
        <v>OUI</v>
      </c>
      <c r="L338" s="73" t="s">
        <v>16</v>
      </c>
      <c r="M338" s="76" t="s">
        <v>912</v>
      </c>
      <c r="N338" s="38">
        <v>45672</v>
      </c>
      <c r="O338" s="16" t="str">
        <f t="shared" si="14"/>
        <v>OUI</v>
      </c>
    </row>
    <row r="339" spans="1:15" ht="15" customHeight="1" x14ac:dyDescent="0.3">
      <c r="A339" s="67" t="s">
        <v>28</v>
      </c>
      <c r="B339" s="91" t="s">
        <v>913</v>
      </c>
      <c r="C339" s="68" t="s">
        <v>93</v>
      </c>
      <c r="D339" s="68" t="s">
        <v>914</v>
      </c>
      <c r="E339" s="68" t="s">
        <v>31</v>
      </c>
      <c r="F339" s="69">
        <v>45673.418055555558</v>
      </c>
      <c r="G339" s="68">
        <v>1508</v>
      </c>
      <c r="H339" s="68" t="s">
        <v>14</v>
      </c>
      <c r="I339" s="70"/>
      <c r="J339" s="68">
        <v>1501</v>
      </c>
      <c r="K339" s="81" t="str">
        <f t="shared" si="13"/>
        <v/>
      </c>
      <c r="L339" s="68" t="s">
        <v>16</v>
      </c>
      <c r="M339" s="71"/>
      <c r="O339" s="16" t="str">
        <f t="shared" si="14"/>
        <v/>
      </c>
    </row>
    <row r="340" spans="1:15" ht="15" customHeight="1" x14ac:dyDescent="0.3">
      <c r="A340" s="67" t="s">
        <v>34</v>
      </c>
      <c r="B340" s="91" t="s">
        <v>850</v>
      </c>
      <c r="C340" s="68" t="s">
        <v>36</v>
      </c>
      <c r="D340" s="68" t="s">
        <v>851</v>
      </c>
      <c r="E340" s="68" t="s">
        <v>38</v>
      </c>
      <c r="F340" s="69">
        <v>45673.791666666664</v>
      </c>
      <c r="G340" s="68">
        <v>1502</v>
      </c>
      <c r="H340" s="68" t="s">
        <v>24</v>
      </c>
      <c r="I340" s="79">
        <v>45673.79791666667</v>
      </c>
      <c r="J340" s="68">
        <v>1502</v>
      </c>
      <c r="K340" s="81" t="str">
        <f t="shared" si="13"/>
        <v>OUI</v>
      </c>
      <c r="L340" s="68" t="s">
        <v>165</v>
      </c>
      <c r="M340" s="71" t="s">
        <v>915</v>
      </c>
      <c r="N340" s="38">
        <v>45673</v>
      </c>
      <c r="O340" s="16" t="str">
        <f t="shared" si="14"/>
        <v>OUI</v>
      </c>
    </row>
    <row r="341" spans="1:15" ht="15" customHeight="1" x14ac:dyDescent="0.3">
      <c r="A341" s="72" t="s">
        <v>34</v>
      </c>
      <c r="B341" s="90" t="s">
        <v>916</v>
      </c>
      <c r="C341" s="73" t="s">
        <v>184</v>
      </c>
      <c r="D341" s="73" t="s">
        <v>917</v>
      </c>
      <c r="E341" s="73" t="s">
        <v>38</v>
      </c>
      <c r="F341" s="74">
        <v>45673.95416666667</v>
      </c>
      <c r="G341" s="73">
        <v>1503</v>
      </c>
      <c r="H341" s="73" t="s">
        <v>24</v>
      </c>
      <c r="I341" s="80">
        <v>45673.956250000003</v>
      </c>
      <c r="J341" s="73">
        <v>1503</v>
      </c>
      <c r="K341" s="81" t="str">
        <f t="shared" si="13"/>
        <v>OUI</v>
      </c>
      <c r="L341" s="73" t="s">
        <v>16</v>
      </c>
      <c r="M341" s="76" t="s">
        <v>918</v>
      </c>
      <c r="N341" s="38">
        <v>45673</v>
      </c>
      <c r="O341" s="16" t="str">
        <f t="shared" si="14"/>
        <v>OUI</v>
      </c>
    </row>
    <row r="342" spans="1:15" ht="15" customHeight="1" x14ac:dyDescent="0.3">
      <c r="A342" s="67" t="s">
        <v>34</v>
      </c>
      <c r="B342" s="10" t="s">
        <v>847</v>
      </c>
      <c r="C342" s="73" t="s">
        <v>919</v>
      </c>
      <c r="D342" s="68" t="s">
        <v>920</v>
      </c>
      <c r="E342" s="68" t="s">
        <v>38</v>
      </c>
      <c r="F342" s="69">
        <v>45674.435416666667</v>
      </c>
      <c r="G342" s="68">
        <v>1504</v>
      </c>
      <c r="H342" s="68" t="s">
        <v>24</v>
      </c>
      <c r="I342" s="79">
        <v>45674.436111111114</v>
      </c>
      <c r="J342" s="68">
        <v>1504</v>
      </c>
      <c r="K342" s="81" t="str">
        <f t="shared" si="13"/>
        <v>OUI</v>
      </c>
      <c r="L342" s="68" t="s">
        <v>16</v>
      </c>
      <c r="M342" s="71" t="s">
        <v>921</v>
      </c>
      <c r="N342" s="38">
        <v>45674</v>
      </c>
      <c r="O342" s="16" t="str">
        <f t="shared" si="14"/>
        <v>OUI</v>
      </c>
    </row>
    <row r="343" spans="1:15" ht="15" customHeight="1" x14ac:dyDescent="0.3">
      <c r="A343" s="72" t="s">
        <v>99</v>
      </c>
      <c r="B343" s="90" t="s">
        <v>922</v>
      </c>
      <c r="C343" s="73" t="s">
        <v>923</v>
      </c>
      <c r="D343" s="73" t="s">
        <v>841</v>
      </c>
      <c r="E343" s="73" t="s">
        <v>13</v>
      </c>
      <c r="F343" s="74">
        <v>45678.368055555555</v>
      </c>
      <c r="G343" s="73">
        <v>1512</v>
      </c>
      <c r="H343" s="73" t="s">
        <v>14</v>
      </c>
      <c r="I343" s="80">
        <v>45723.419907407406</v>
      </c>
      <c r="J343" s="73">
        <v>1507</v>
      </c>
      <c r="K343" s="81" t="str">
        <f t="shared" si="13"/>
        <v>OUI</v>
      </c>
      <c r="L343" s="73" t="s">
        <v>16</v>
      </c>
      <c r="M343" s="76" t="s">
        <v>924</v>
      </c>
      <c r="N343" s="38">
        <v>45681</v>
      </c>
      <c r="O343" s="16" t="str">
        <f t="shared" si="14"/>
        <v>OUI</v>
      </c>
    </row>
    <row r="344" spans="1:15" ht="15" customHeight="1" x14ac:dyDescent="0.3">
      <c r="A344" s="72" t="s">
        <v>34</v>
      </c>
      <c r="B344" s="90" t="s">
        <v>925</v>
      </c>
      <c r="C344" s="73" t="s">
        <v>66</v>
      </c>
      <c r="D344" s="73" t="s">
        <v>926</v>
      </c>
      <c r="E344" s="73" t="s">
        <v>38</v>
      </c>
      <c r="F344" s="74">
        <v>45678.399305555555</v>
      </c>
      <c r="G344" s="73">
        <v>1514</v>
      </c>
      <c r="H344" s="73" t="s">
        <v>14</v>
      </c>
      <c r="I344" s="75"/>
      <c r="J344" s="73">
        <v>1508</v>
      </c>
      <c r="K344" s="81" t="str">
        <f t="shared" si="13"/>
        <v/>
      </c>
      <c r="L344" s="73" t="s">
        <v>16</v>
      </c>
      <c r="M344" s="76"/>
      <c r="O344" s="16" t="str">
        <f t="shared" si="14"/>
        <v/>
      </c>
    </row>
    <row r="345" spans="1:15" ht="15" customHeight="1" x14ac:dyDescent="0.3">
      <c r="A345" s="72" t="s">
        <v>58</v>
      </c>
      <c r="B345" s="90" t="s">
        <v>927</v>
      </c>
      <c r="C345" s="73" t="s">
        <v>632</v>
      </c>
      <c r="D345" s="73" t="s">
        <v>928</v>
      </c>
      <c r="E345" s="73" t="s">
        <v>61</v>
      </c>
      <c r="F345" s="74">
        <v>45679.922222222223</v>
      </c>
      <c r="G345" s="73">
        <v>1516</v>
      </c>
      <c r="H345" s="73" t="s">
        <v>14</v>
      </c>
      <c r="I345" s="75"/>
      <c r="J345" s="73">
        <v>1509</v>
      </c>
      <c r="K345" s="81" t="str">
        <f t="shared" si="13"/>
        <v/>
      </c>
      <c r="L345" s="73" t="s">
        <v>16</v>
      </c>
      <c r="M345" s="76"/>
      <c r="O345" s="16" t="str">
        <f t="shared" si="14"/>
        <v/>
      </c>
    </row>
    <row r="346" spans="1:15" ht="15" customHeight="1" x14ac:dyDescent="0.3">
      <c r="A346" s="67" t="s">
        <v>34</v>
      </c>
      <c r="B346" s="91" t="s">
        <v>929</v>
      </c>
      <c r="C346" s="68" t="s">
        <v>172</v>
      </c>
      <c r="D346" s="68" t="s">
        <v>930</v>
      </c>
      <c r="E346" s="68" t="s">
        <v>38</v>
      </c>
      <c r="F346" s="69">
        <v>45684.570138888892</v>
      </c>
      <c r="G346" s="68">
        <v>1518</v>
      </c>
      <c r="H346" s="68" t="s">
        <v>14</v>
      </c>
      <c r="I346" s="70"/>
      <c r="J346" s="68">
        <v>1510</v>
      </c>
      <c r="K346" s="81" t="str">
        <f t="shared" si="13"/>
        <v/>
      </c>
      <c r="L346" s="68" t="s">
        <v>16</v>
      </c>
      <c r="M346" s="71"/>
      <c r="O346" s="16" t="str">
        <f t="shared" si="14"/>
        <v/>
      </c>
    </row>
    <row r="347" spans="1:15" ht="15" customHeight="1" x14ac:dyDescent="0.3">
      <c r="A347" s="67" t="s">
        <v>34</v>
      </c>
      <c r="B347" s="91" t="s">
        <v>931</v>
      </c>
      <c r="C347" s="1" t="s">
        <v>581</v>
      </c>
      <c r="D347" s="68" t="s">
        <v>932</v>
      </c>
      <c r="E347" s="68" t="s">
        <v>38</v>
      </c>
      <c r="F347" s="69">
        <v>45688.434027777781</v>
      </c>
      <c r="G347" s="68">
        <v>1520</v>
      </c>
      <c r="H347" s="68" t="s">
        <v>24</v>
      </c>
      <c r="I347" s="70"/>
      <c r="J347" s="68">
        <v>1512</v>
      </c>
      <c r="K347" s="81" t="str">
        <f t="shared" si="13"/>
        <v/>
      </c>
      <c r="L347" s="68" t="s">
        <v>16</v>
      </c>
      <c r="M347" s="71"/>
      <c r="O347" s="16" t="str">
        <f t="shared" si="14"/>
        <v/>
      </c>
    </row>
    <row r="348" spans="1:15" ht="15" customHeight="1" x14ac:dyDescent="0.3">
      <c r="A348" s="72" t="s">
        <v>28</v>
      </c>
      <c r="B348" s="90" t="s">
        <v>933</v>
      </c>
      <c r="C348" s="73" t="s">
        <v>427</v>
      </c>
      <c r="D348" t="s">
        <v>934</v>
      </c>
      <c r="E348" s="73" t="s">
        <v>31</v>
      </c>
      <c r="F348" s="74">
        <v>45692.495138888888</v>
      </c>
      <c r="G348" s="73">
        <v>1522</v>
      </c>
      <c r="H348" s="73" t="s">
        <v>14</v>
      </c>
      <c r="I348" s="80">
        <v>45702.577916666669</v>
      </c>
      <c r="J348" s="73">
        <v>1513</v>
      </c>
      <c r="K348" s="81" t="str">
        <f t="shared" si="13"/>
        <v>OUI</v>
      </c>
      <c r="L348" s="73" t="s">
        <v>16</v>
      </c>
      <c r="M348" s="76" t="s">
        <v>935</v>
      </c>
      <c r="N348" s="38">
        <v>45701</v>
      </c>
      <c r="O348" s="16" t="str">
        <f t="shared" si="14"/>
        <v>OUI</v>
      </c>
    </row>
    <row r="349" spans="1:15" ht="15" customHeight="1" x14ac:dyDescent="0.3">
      <c r="A349" s="72" t="s">
        <v>28</v>
      </c>
      <c r="B349" s="90" t="s">
        <v>936</v>
      </c>
      <c r="C349" s="73" t="s">
        <v>863</v>
      </c>
      <c r="D349" t="s">
        <v>937</v>
      </c>
      <c r="E349" s="73" t="s">
        <v>31</v>
      </c>
      <c r="F349" s="74">
        <v>45694.331250000003</v>
      </c>
      <c r="G349" s="73">
        <v>1524</v>
      </c>
      <c r="H349" s="73" t="s">
        <v>14</v>
      </c>
      <c r="I349" s="80">
        <v>45704.354467592595</v>
      </c>
      <c r="J349" s="73">
        <v>1514</v>
      </c>
      <c r="K349" s="81" t="str">
        <f t="shared" si="13"/>
        <v>OUI</v>
      </c>
      <c r="L349" s="73" t="s">
        <v>16</v>
      </c>
      <c r="M349" s="76" t="s">
        <v>938</v>
      </c>
      <c r="N349" s="38">
        <v>45706</v>
      </c>
      <c r="O349" s="16" t="str">
        <f t="shared" si="14"/>
        <v>OUI</v>
      </c>
    </row>
    <row r="350" spans="1:15" ht="15" customHeight="1" x14ac:dyDescent="0.3">
      <c r="A350" s="67" t="s">
        <v>34</v>
      </c>
      <c r="B350" s="10" t="s">
        <v>939</v>
      </c>
      <c r="C350" s="1" t="s">
        <v>294</v>
      </c>
      <c r="D350" s="68" t="s">
        <v>331</v>
      </c>
      <c r="E350" s="68" t="s">
        <v>38</v>
      </c>
      <c r="F350" s="69">
        <v>45697.752083333333</v>
      </c>
      <c r="G350" s="68">
        <v>1515</v>
      </c>
      <c r="H350" s="68" t="s">
        <v>24</v>
      </c>
      <c r="I350" s="79">
        <v>45697.754166666666</v>
      </c>
      <c r="J350" s="68">
        <v>1515</v>
      </c>
      <c r="K350" s="81" t="str">
        <f t="shared" si="13"/>
        <v>OUI</v>
      </c>
      <c r="L350" s="68" t="s">
        <v>16</v>
      </c>
      <c r="M350" s="71" t="s">
        <v>940</v>
      </c>
      <c r="N350" s="38">
        <v>45697</v>
      </c>
      <c r="O350" s="16" t="str">
        <f t="shared" si="14"/>
        <v>OUI</v>
      </c>
    </row>
    <row r="351" spans="1:15" ht="15" customHeight="1" x14ac:dyDescent="0.3">
      <c r="A351" s="67" t="s">
        <v>99</v>
      </c>
      <c r="B351" s="91" t="s">
        <v>941</v>
      </c>
      <c r="C351" s="68" t="s">
        <v>562</v>
      </c>
      <c r="D351" t="s">
        <v>942</v>
      </c>
      <c r="E351" s="68" t="s">
        <v>13</v>
      </c>
      <c r="F351" s="69">
        <v>45698.495138888888</v>
      </c>
      <c r="G351" s="68">
        <v>1526</v>
      </c>
      <c r="H351" s="68" t="s">
        <v>14</v>
      </c>
      <c r="I351" s="79">
        <v>45698.518055555556</v>
      </c>
      <c r="J351" s="68">
        <v>1516</v>
      </c>
      <c r="K351" s="81" t="str">
        <f t="shared" si="13"/>
        <v>OUI</v>
      </c>
      <c r="L351" s="68" t="s">
        <v>16</v>
      </c>
      <c r="M351" s="71" t="s">
        <v>943</v>
      </c>
      <c r="N351" s="38">
        <v>45960</v>
      </c>
      <c r="O351" s="16" t="str">
        <f t="shared" si="14"/>
        <v>OUI</v>
      </c>
    </row>
    <row r="352" spans="1:15" ht="15" customHeight="1" x14ac:dyDescent="0.3">
      <c r="A352" s="72" t="s">
        <v>34</v>
      </c>
      <c r="B352" s="90" t="s">
        <v>944</v>
      </c>
      <c r="C352" s="73" t="s">
        <v>294</v>
      </c>
      <c r="D352" s="73" t="s">
        <v>945</v>
      </c>
      <c r="E352" s="73" t="s">
        <v>38</v>
      </c>
      <c r="F352" s="74">
        <v>45699.533333333333</v>
      </c>
      <c r="G352" s="73">
        <v>1528</v>
      </c>
      <c r="H352" s="73" t="s">
        <v>14</v>
      </c>
      <c r="I352" s="75"/>
      <c r="J352" s="73">
        <v>1517</v>
      </c>
      <c r="K352" s="81" t="str">
        <f t="shared" si="13"/>
        <v/>
      </c>
      <c r="L352" s="73" t="s">
        <v>16</v>
      </c>
      <c r="M352" s="76"/>
      <c r="O352" s="16" t="str">
        <f t="shared" si="14"/>
        <v/>
      </c>
    </row>
    <row r="353" spans="1:15" ht="15" customHeight="1" x14ac:dyDescent="0.3">
      <c r="A353" s="67" t="s">
        <v>209</v>
      </c>
      <c r="B353" s="10" t="s">
        <v>587</v>
      </c>
      <c r="C353" s="1" t="s">
        <v>497</v>
      </c>
      <c r="D353" s="68" t="s">
        <v>588</v>
      </c>
      <c r="E353" s="68" t="s">
        <v>57</v>
      </c>
      <c r="F353" s="69">
        <v>45700.388888888891</v>
      </c>
      <c r="G353" s="68">
        <v>1530</v>
      </c>
      <c r="H353" s="68" t="s">
        <v>14</v>
      </c>
      <c r="I353" s="70"/>
      <c r="J353" s="68">
        <v>1518</v>
      </c>
      <c r="K353" s="81" t="str">
        <f t="shared" si="13"/>
        <v/>
      </c>
      <c r="L353" s="68" t="s">
        <v>165</v>
      </c>
      <c r="M353" s="71"/>
      <c r="O353" s="16" t="str">
        <f t="shared" si="14"/>
        <v/>
      </c>
    </row>
    <row r="354" spans="1:15" ht="15" customHeight="1" x14ac:dyDescent="0.3">
      <c r="A354" s="72" t="s">
        <v>99</v>
      </c>
      <c r="B354" s="90" t="s">
        <v>333</v>
      </c>
      <c r="C354" s="73" t="s">
        <v>294</v>
      </c>
      <c r="D354" s="73" t="s">
        <v>334</v>
      </c>
      <c r="E354" s="73" t="s">
        <v>13</v>
      </c>
      <c r="F354" s="74">
        <v>45701.669444444444</v>
      </c>
      <c r="G354" s="73">
        <v>1519</v>
      </c>
      <c r="H354" s="73" t="s">
        <v>24</v>
      </c>
      <c r="I354" s="80">
        <v>45701.67083333333</v>
      </c>
      <c r="J354" s="73">
        <v>1519</v>
      </c>
      <c r="K354" s="81" t="str">
        <f t="shared" si="13"/>
        <v>OUI</v>
      </c>
      <c r="L354" s="73" t="s">
        <v>165</v>
      </c>
      <c r="M354" s="76" t="s">
        <v>946</v>
      </c>
      <c r="N354" s="38">
        <v>45701</v>
      </c>
      <c r="O354" s="16" t="str">
        <f t="shared" si="14"/>
        <v>OUI</v>
      </c>
    </row>
    <row r="355" spans="1:15" ht="15" customHeight="1" x14ac:dyDescent="0.3">
      <c r="A355" s="67" t="s">
        <v>34</v>
      </c>
      <c r="B355" s="91" t="s">
        <v>947</v>
      </c>
      <c r="C355" s="68" t="s">
        <v>88</v>
      </c>
      <c r="D355" s="68" t="s">
        <v>948</v>
      </c>
      <c r="E355" s="68" t="s">
        <v>38</v>
      </c>
      <c r="F355" s="69">
        <v>45701.909722222219</v>
      </c>
      <c r="G355" s="68">
        <v>1532</v>
      </c>
      <c r="H355" s="68" t="s">
        <v>14</v>
      </c>
      <c r="I355" s="79">
        <v>45704.552407407406</v>
      </c>
      <c r="J355" s="68">
        <v>1520</v>
      </c>
      <c r="K355" s="81" t="str">
        <f t="shared" si="13"/>
        <v>OUI</v>
      </c>
      <c r="L355" s="68" t="s">
        <v>16</v>
      </c>
      <c r="M355" s="71" t="s">
        <v>949</v>
      </c>
      <c r="N355" s="38">
        <v>45960</v>
      </c>
      <c r="O355" s="16" t="str">
        <f t="shared" si="14"/>
        <v>OUI</v>
      </c>
    </row>
    <row r="356" spans="1:15" ht="15" customHeight="1" x14ac:dyDescent="0.3">
      <c r="A356" s="67" t="s">
        <v>34</v>
      </c>
      <c r="B356" s="91" t="s">
        <v>950</v>
      </c>
      <c r="C356" s="68" t="s">
        <v>287</v>
      </c>
      <c r="D356" s="68" t="s">
        <v>951</v>
      </c>
      <c r="E356" s="68" t="s">
        <v>38</v>
      </c>
      <c r="F356" s="69">
        <v>45702.811805555553</v>
      </c>
      <c r="G356" s="68">
        <v>1533</v>
      </c>
      <c r="H356" s="68" t="s">
        <v>24</v>
      </c>
      <c r="I356" s="70"/>
      <c r="J356" s="68">
        <v>1521</v>
      </c>
      <c r="K356" s="81" t="str">
        <f t="shared" si="13"/>
        <v/>
      </c>
      <c r="L356" s="68" t="s">
        <v>16</v>
      </c>
      <c r="M356" s="71"/>
      <c r="O356" s="16" t="str">
        <f t="shared" si="14"/>
        <v/>
      </c>
    </row>
    <row r="357" spans="1:15" ht="15" customHeight="1" x14ac:dyDescent="0.3">
      <c r="A357" s="67" t="s">
        <v>34</v>
      </c>
      <c r="B357" s="91" t="s">
        <v>952</v>
      </c>
      <c r="C357" s="68" t="s">
        <v>47</v>
      </c>
      <c r="D357" s="68" t="s">
        <v>953</v>
      </c>
      <c r="E357" s="68" t="s">
        <v>38</v>
      </c>
      <c r="F357" s="69">
        <v>45704.654166666667</v>
      </c>
      <c r="G357" s="68">
        <v>1535</v>
      </c>
      <c r="H357" s="68" t="s">
        <v>14</v>
      </c>
      <c r="I357" s="79">
        <v>45704.661111111112</v>
      </c>
      <c r="J357" s="68">
        <v>1522</v>
      </c>
      <c r="K357" s="81" t="str">
        <f t="shared" si="13"/>
        <v>OUI</v>
      </c>
      <c r="L357" s="68" t="s">
        <v>16</v>
      </c>
      <c r="M357" s="71" t="s">
        <v>954</v>
      </c>
      <c r="N357" s="38">
        <v>45705</v>
      </c>
      <c r="O357" s="16" t="str">
        <f t="shared" si="14"/>
        <v>OUI</v>
      </c>
    </row>
    <row r="358" spans="1:15" ht="15" customHeight="1" x14ac:dyDescent="0.3">
      <c r="A358" s="67" t="s">
        <v>34</v>
      </c>
      <c r="B358" s="91" t="s">
        <v>955</v>
      </c>
      <c r="C358" s="68" t="s">
        <v>88</v>
      </c>
      <c r="D358" s="68" t="s">
        <v>956</v>
      </c>
      <c r="E358" s="68" t="s">
        <v>38</v>
      </c>
      <c r="F358" s="69">
        <v>45705.332638888889</v>
      </c>
      <c r="G358" s="68">
        <v>1537</v>
      </c>
      <c r="H358" s="68" t="s">
        <v>14</v>
      </c>
      <c r="I358" s="79">
        <v>45706.313032407408</v>
      </c>
      <c r="J358" s="68">
        <v>1523</v>
      </c>
      <c r="K358" s="81" t="str">
        <f t="shared" si="13"/>
        <v>OUI</v>
      </c>
      <c r="L358" s="68" t="s">
        <v>16</v>
      </c>
      <c r="M358" s="71" t="s">
        <v>957</v>
      </c>
      <c r="N358" s="38">
        <v>45705</v>
      </c>
      <c r="O358" s="16" t="str">
        <f t="shared" si="14"/>
        <v>OUI</v>
      </c>
    </row>
    <row r="359" spans="1:15" ht="15" customHeight="1" x14ac:dyDescent="0.3">
      <c r="A359" s="67" t="s">
        <v>34</v>
      </c>
      <c r="B359" s="91" t="s">
        <v>958</v>
      </c>
      <c r="C359" s="1" t="s">
        <v>66</v>
      </c>
      <c r="D359" s="1" t="s">
        <v>959</v>
      </c>
      <c r="E359" s="68" t="s">
        <v>38</v>
      </c>
      <c r="F359" s="69">
        <v>45705.352777777778</v>
      </c>
      <c r="G359" s="68">
        <v>1524</v>
      </c>
      <c r="H359" s="68" t="s">
        <v>24</v>
      </c>
      <c r="I359" s="79">
        <v>45705.354166666664</v>
      </c>
      <c r="J359" s="68">
        <v>1524</v>
      </c>
      <c r="K359" s="81" t="str">
        <f t="shared" si="13"/>
        <v>OUI</v>
      </c>
      <c r="L359" s="68" t="s">
        <v>16</v>
      </c>
      <c r="M359" s="71" t="s">
        <v>960</v>
      </c>
      <c r="N359" s="38">
        <v>45705</v>
      </c>
      <c r="O359" s="16" t="str">
        <f t="shared" si="14"/>
        <v>OUI</v>
      </c>
    </row>
    <row r="360" spans="1:15" ht="15" customHeight="1" x14ac:dyDescent="0.3">
      <c r="A360" s="67" t="s">
        <v>209</v>
      </c>
      <c r="B360" s="10" t="s">
        <v>961</v>
      </c>
      <c r="C360" s="1" t="s">
        <v>962</v>
      </c>
      <c r="D360" t="s">
        <v>963</v>
      </c>
      <c r="E360" s="68" t="s">
        <v>57</v>
      </c>
      <c r="F360" s="69">
        <v>45705.364583333336</v>
      </c>
      <c r="G360" s="68">
        <v>1538</v>
      </c>
      <c r="H360" s="68" t="s">
        <v>24</v>
      </c>
      <c r="I360" s="70"/>
      <c r="J360" s="92">
        <v>1525</v>
      </c>
      <c r="K360" s="81" t="str">
        <f t="shared" si="13"/>
        <v/>
      </c>
      <c r="L360" s="68" t="s">
        <v>16</v>
      </c>
      <c r="M360" s="71"/>
      <c r="N360" s="38">
        <v>45705</v>
      </c>
      <c r="O360" s="16" t="str">
        <f t="shared" si="14"/>
        <v>OUI</v>
      </c>
    </row>
    <row r="361" spans="1:15" ht="15" customHeight="1" x14ac:dyDescent="0.3">
      <c r="A361" s="67" t="s">
        <v>10</v>
      </c>
      <c r="B361" s="91" t="s">
        <v>964</v>
      </c>
      <c r="C361" s="68" t="s">
        <v>965</v>
      </c>
      <c r="D361" s="84" t="s">
        <v>966</v>
      </c>
      <c r="E361" s="68" t="s">
        <v>13</v>
      </c>
      <c r="F361" s="69">
        <v>45705.40625</v>
      </c>
      <c r="G361" s="68">
        <v>1540</v>
      </c>
      <c r="H361" s="68" t="s">
        <v>14</v>
      </c>
      <c r="I361" s="70"/>
      <c r="J361" s="68">
        <v>1526</v>
      </c>
      <c r="K361" s="81" t="str">
        <f t="shared" si="13"/>
        <v/>
      </c>
      <c r="L361" s="68" t="s">
        <v>16</v>
      </c>
      <c r="M361" s="71"/>
      <c r="O361" s="16" t="str">
        <f t="shared" si="14"/>
        <v/>
      </c>
    </row>
    <row r="362" spans="1:15" ht="15" customHeight="1" x14ac:dyDescent="0.3">
      <c r="A362" s="67" t="s">
        <v>34</v>
      </c>
      <c r="B362" s="91" t="s">
        <v>967</v>
      </c>
      <c r="C362" s="68" t="s">
        <v>26</v>
      </c>
      <c r="D362" s="68" t="s">
        <v>968</v>
      </c>
      <c r="E362" s="68" t="s">
        <v>38</v>
      </c>
      <c r="F362" s="69">
        <v>45705.410416666666</v>
      </c>
      <c r="G362" s="68">
        <v>1527</v>
      </c>
      <c r="H362" s="68" t="s">
        <v>24</v>
      </c>
      <c r="I362" s="79">
        <v>45705.411805555559</v>
      </c>
      <c r="J362" s="68">
        <v>1527</v>
      </c>
      <c r="K362" s="81" t="str">
        <f t="shared" si="13"/>
        <v>OUI</v>
      </c>
      <c r="L362" s="68" t="s">
        <v>16</v>
      </c>
      <c r="M362" s="71" t="s">
        <v>969</v>
      </c>
      <c r="N362" s="38">
        <v>45712</v>
      </c>
      <c r="O362" s="16" t="str">
        <f t="shared" si="14"/>
        <v>OUI</v>
      </c>
    </row>
    <row r="363" spans="1:15" ht="15" customHeight="1" x14ac:dyDescent="0.3">
      <c r="A363" s="72" t="s">
        <v>34</v>
      </c>
      <c r="B363" s="90" t="s">
        <v>970</v>
      </c>
      <c r="C363" s="1" t="s">
        <v>26</v>
      </c>
      <c r="D363" s="73" t="s">
        <v>971</v>
      </c>
      <c r="E363" s="73" t="s">
        <v>38</v>
      </c>
      <c r="F363" s="74">
        <v>45705.418055555558</v>
      </c>
      <c r="G363" s="73">
        <v>1528</v>
      </c>
      <c r="H363" s="73" t="s">
        <v>24</v>
      </c>
      <c r="I363" s="80">
        <v>45705.419444444444</v>
      </c>
      <c r="J363" s="73">
        <v>1528</v>
      </c>
      <c r="K363" s="81" t="str">
        <f t="shared" si="13"/>
        <v>OUI</v>
      </c>
      <c r="L363" s="73" t="s">
        <v>16</v>
      </c>
      <c r="M363" s="76" t="s">
        <v>972</v>
      </c>
      <c r="N363" s="38">
        <v>45705</v>
      </c>
      <c r="O363" s="16" t="str">
        <f t="shared" si="14"/>
        <v>OUI</v>
      </c>
    </row>
    <row r="364" spans="1:15" ht="15" customHeight="1" x14ac:dyDescent="0.3">
      <c r="A364" s="72" t="s">
        <v>58</v>
      </c>
      <c r="B364" s="10" t="s">
        <v>973</v>
      </c>
      <c r="C364" s="1" t="s">
        <v>974</v>
      </c>
      <c r="D364" t="s">
        <v>975</v>
      </c>
      <c r="E364" s="73" t="s">
        <v>61</v>
      </c>
      <c r="F364" s="74">
        <v>45705.441666666666</v>
      </c>
      <c r="G364" s="73">
        <v>1542</v>
      </c>
      <c r="H364" s="73" t="s">
        <v>14</v>
      </c>
      <c r="I364" s="80">
        <v>45705.442361111112</v>
      </c>
      <c r="J364" s="73">
        <v>1529</v>
      </c>
      <c r="K364" s="81" t="str">
        <f t="shared" si="13"/>
        <v>OUI</v>
      </c>
      <c r="L364" s="73" t="s">
        <v>16</v>
      </c>
      <c r="M364" s="76" t="s">
        <v>976</v>
      </c>
      <c r="N364" s="93">
        <v>45705</v>
      </c>
      <c r="O364" s="16" t="str">
        <f t="shared" si="14"/>
        <v>OUI</v>
      </c>
    </row>
    <row r="365" spans="1:15" ht="15" customHeight="1" x14ac:dyDescent="0.3">
      <c r="A365" s="67" t="s">
        <v>99</v>
      </c>
      <c r="B365" s="10" t="s">
        <v>977</v>
      </c>
      <c r="C365" s="1" t="s">
        <v>443</v>
      </c>
      <c r="D365" s="68" t="s">
        <v>978</v>
      </c>
      <c r="E365" s="68" t="s">
        <v>13</v>
      </c>
      <c r="F365" s="69">
        <v>45705.515972222223</v>
      </c>
      <c r="G365" s="68">
        <v>1544</v>
      </c>
      <c r="H365" s="68" t="s">
        <v>14</v>
      </c>
      <c r="I365" s="70"/>
      <c r="J365" s="68">
        <v>1530</v>
      </c>
      <c r="K365" s="81" t="str">
        <f t="shared" si="13"/>
        <v/>
      </c>
      <c r="L365" s="68" t="s">
        <v>16</v>
      </c>
      <c r="M365" s="71"/>
      <c r="O365" s="16" t="str">
        <f t="shared" si="14"/>
        <v/>
      </c>
    </row>
    <row r="366" spans="1:15" ht="15" customHeight="1" x14ac:dyDescent="0.3">
      <c r="A366" s="67" t="s">
        <v>17</v>
      </c>
      <c r="B366" s="91" t="s">
        <v>979</v>
      </c>
      <c r="C366" s="68" t="s">
        <v>980</v>
      </c>
      <c r="D366" t="s">
        <v>981</v>
      </c>
      <c r="E366" s="68" t="s">
        <v>19</v>
      </c>
      <c r="F366" s="69">
        <v>45705.837500000001</v>
      </c>
      <c r="G366" s="68">
        <v>1546</v>
      </c>
      <c r="H366" s="68" t="s">
        <v>14</v>
      </c>
      <c r="I366" s="79">
        <v>45819.460370370369</v>
      </c>
      <c r="J366" s="68">
        <v>1531</v>
      </c>
      <c r="K366" s="81" t="str">
        <f t="shared" si="13"/>
        <v>OUI</v>
      </c>
      <c r="L366" s="68" t="s">
        <v>16</v>
      </c>
      <c r="M366" s="71" t="s">
        <v>982</v>
      </c>
      <c r="N366" s="38">
        <v>45720</v>
      </c>
      <c r="O366" s="16" t="str">
        <f t="shared" si="14"/>
        <v>OUI</v>
      </c>
    </row>
    <row r="367" spans="1:15" ht="15" customHeight="1" x14ac:dyDescent="0.3">
      <c r="A367" s="67" t="s">
        <v>34</v>
      </c>
      <c r="B367" s="91" t="s">
        <v>916</v>
      </c>
      <c r="C367" s="68" t="s">
        <v>184</v>
      </c>
      <c r="D367" s="68" t="s">
        <v>983</v>
      </c>
      <c r="E367" s="68" t="s">
        <v>38</v>
      </c>
      <c r="F367" s="69">
        <v>45706.335416666669</v>
      </c>
      <c r="G367" s="68">
        <v>1548</v>
      </c>
      <c r="H367" s="68" t="s">
        <v>14</v>
      </c>
      <c r="I367" s="79">
        <v>45726.662615740737</v>
      </c>
      <c r="J367" s="68">
        <v>1532</v>
      </c>
      <c r="K367" s="81" t="str">
        <f t="shared" si="13"/>
        <v>OUI</v>
      </c>
      <c r="L367" s="68" t="s">
        <v>16</v>
      </c>
      <c r="M367" s="71" t="s">
        <v>984</v>
      </c>
      <c r="N367" s="38">
        <v>45706</v>
      </c>
      <c r="O367" s="16" t="str">
        <f t="shared" si="14"/>
        <v>OUI</v>
      </c>
    </row>
    <row r="368" spans="1:15" ht="15" customHeight="1" x14ac:dyDescent="0.3">
      <c r="A368" s="67" t="s">
        <v>34</v>
      </c>
      <c r="B368" s="91" t="s">
        <v>985</v>
      </c>
      <c r="C368" s="68" t="s">
        <v>109</v>
      </c>
      <c r="D368" s="68" t="s">
        <v>986</v>
      </c>
      <c r="E368" s="68" t="s">
        <v>38</v>
      </c>
      <c r="F368" s="69">
        <v>45706.341666666667</v>
      </c>
      <c r="G368" s="68">
        <v>1550</v>
      </c>
      <c r="H368" s="68" t="s">
        <v>14</v>
      </c>
      <c r="I368" s="79">
        <v>45723.503298611111</v>
      </c>
      <c r="J368" s="68">
        <v>1533</v>
      </c>
      <c r="K368" s="81" t="str">
        <f t="shared" si="13"/>
        <v>OUI</v>
      </c>
      <c r="L368" s="68" t="s">
        <v>16</v>
      </c>
      <c r="M368" s="71" t="s">
        <v>987</v>
      </c>
      <c r="N368" s="38">
        <v>45712</v>
      </c>
      <c r="O368" s="16" t="str">
        <f t="shared" si="14"/>
        <v>OUI</v>
      </c>
    </row>
    <row r="369" spans="1:15" ht="15" customHeight="1" x14ac:dyDescent="0.3">
      <c r="A369" s="67" t="s">
        <v>34</v>
      </c>
      <c r="B369" s="91" t="s">
        <v>988</v>
      </c>
      <c r="C369" s="68" t="s">
        <v>47</v>
      </c>
      <c r="D369" t="s">
        <v>989</v>
      </c>
      <c r="E369" s="68" t="s">
        <v>38</v>
      </c>
      <c r="F369" s="69">
        <v>45706.344444444447</v>
      </c>
      <c r="G369" s="68">
        <v>1552</v>
      </c>
      <c r="H369" s="68" t="s">
        <v>14</v>
      </c>
      <c r="I369" s="79">
        <v>45819.461643518516</v>
      </c>
      <c r="J369" s="68">
        <v>1534</v>
      </c>
      <c r="K369" s="81" t="str">
        <f t="shared" si="13"/>
        <v>OUI</v>
      </c>
      <c r="L369" s="68" t="s">
        <v>16</v>
      </c>
      <c r="M369" s="71" t="s">
        <v>990</v>
      </c>
      <c r="N369" s="38">
        <v>45715</v>
      </c>
      <c r="O369" s="16" t="str">
        <f t="shared" si="14"/>
        <v>OUI</v>
      </c>
    </row>
    <row r="370" spans="1:15" ht="15" customHeight="1" x14ac:dyDescent="0.3">
      <c r="A370" s="72" t="s">
        <v>34</v>
      </c>
      <c r="B370" s="90" t="s">
        <v>87</v>
      </c>
      <c r="C370" s="73" t="s">
        <v>88</v>
      </c>
      <c r="D370" s="73" t="s">
        <v>991</v>
      </c>
      <c r="E370" s="73" t="s">
        <v>38</v>
      </c>
      <c r="F370" s="74">
        <v>45706.401388888888</v>
      </c>
      <c r="G370" s="73">
        <v>1535</v>
      </c>
      <c r="H370" s="73" t="s">
        <v>24</v>
      </c>
      <c r="I370" s="80">
        <v>45706.404861111114</v>
      </c>
      <c r="J370" s="73">
        <v>1535</v>
      </c>
      <c r="K370" s="81" t="str">
        <f t="shared" si="13"/>
        <v>OUI</v>
      </c>
      <c r="L370" s="73" t="s">
        <v>16</v>
      </c>
      <c r="M370" s="71" t="s">
        <v>992</v>
      </c>
      <c r="N370" s="38">
        <v>45706</v>
      </c>
      <c r="O370" s="16" t="str">
        <f t="shared" si="14"/>
        <v>OUI</v>
      </c>
    </row>
    <row r="371" spans="1:15" ht="15" customHeight="1" x14ac:dyDescent="0.3">
      <c r="A371" s="67" t="s">
        <v>34</v>
      </c>
      <c r="B371" s="91" t="s">
        <v>993</v>
      </c>
      <c r="C371" s="68" t="s">
        <v>63</v>
      </c>
      <c r="D371" s="68" t="s">
        <v>994</v>
      </c>
      <c r="E371" s="68" t="s">
        <v>38</v>
      </c>
      <c r="F371" s="69">
        <v>45706.413194444445</v>
      </c>
      <c r="G371" s="68">
        <v>1554</v>
      </c>
      <c r="H371" s="68" t="s">
        <v>14</v>
      </c>
      <c r="I371" s="79">
        <v>45706.491736111115</v>
      </c>
      <c r="J371" s="68">
        <v>1536</v>
      </c>
      <c r="K371" s="81" t="str">
        <f t="shared" si="13"/>
        <v>OUI</v>
      </c>
      <c r="L371" s="68" t="s">
        <v>16</v>
      </c>
      <c r="M371" s="71" t="s">
        <v>995</v>
      </c>
      <c r="N371" s="38">
        <v>45706</v>
      </c>
      <c r="O371" s="16" t="str">
        <f t="shared" si="14"/>
        <v>OUI</v>
      </c>
    </row>
    <row r="372" spans="1:15" ht="15" customHeight="1" x14ac:dyDescent="0.3">
      <c r="A372" s="72" t="s">
        <v>209</v>
      </c>
      <c r="B372" s="90" t="s">
        <v>996</v>
      </c>
      <c r="C372" s="1" t="s">
        <v>109</v>
      </c>
      <c r="D372" s="73" t="s">
        <v>997</v>
      </c>
      <c r="E372" s="73" t="s">
        <v>57</v>
      </c>
      <c r="F372" s="74">
        <v>45706.530555555553</v>
      </c>
      <c r="G372" s="73">
        <v>1556</v>
      </c>
      <c r="H372" s="73" t="s">
        <v>14</v>
      </c>
      <c r="I372" s="75"/>
      <c r="J372" s="73">
        <v>1537</v>
      </c>
      <c r="K372" s="81" t="str">
        <f t="shared" si="13"/>
        <v/>
      </c>
      <c r="L372" s="73" t="s">
        <v>16</v>
      </c>
      <c r="M372" s="76"/>
      <c r="O372" s="16" t="str">
        <f t="shared" si="14"/>
        <v/>
      </c>
    </row>
    <row r="373" spans="1:15" ht="15" customHeight="1" x14ac:dyDescent="0.3">
      <c r="A373" s="67" t="s">
        <v>20</v>
      </c>
      <c r="B373" s="91" t="s">
        <v>998</v>
      </c>
      <c r="C373" s="68" t="s">
        <v>443</v>
      </c>
      <c r="D373" s="68" t="s">
        <v>999</v>
      </c>
      <c r="E373" s="68" t="s">
        <v>23</v>
      </c>
      <c r="F373" s="69">
        <v>45706.6</v>
      </c>
      <c r="G373" s="68">
        <v>1558</v>
      </c>
      <c r="H373" s="68" t="s">
        <v>14</v>
      </c>
      <c r="I373" s="70"/>
      <c r="J373" s="68">
        <v>1538</v>
      </c>
      <c r="K373" s="81" t="str">
        <f t="shared" ref="K373:K436" si="15">IF(AND(NOT(ISBLANK(I373)), NOT(ISBLANK(M373))), "OUI", "")</f>
        <v/>
      </c>
      <c r="L373" s="68" t="s">
        <v>16</v>
      </c>
      <c r="M373" s="71"/>
      <c r="O373" s="16" t="str">
        <f t="shared" si="14"/>
        <v/>
      </c>
    </row>
    <row r="374" spans="1:15" ht="15" customHeight="1" x14ac:dyDescent="0.3">
      <c r="A374" s="67" t="s">
        <v>34</v>
      </c>
      <c r="B374" s="91" t="s">
        <v>1000</v>
      </c>
      <c r="C374" s="68" t="s">
        <v>47</v>
      </c>
      <c r="D374" t="s">
        <v>1001</v>
      </c>
      <c r="E374" s="68" t="s">
        <v>38</v>
      </c>
      <c r="F374" s="69">
        <v>45707.34652777778</v>
      </c>
      <c r="G374" s="68">
        <v>1560</v>
      </c>
      <c r="H374" s="68" t="s">
        <v>14</v>
      </c>
      <c r="I374" s="79">
        <v>45819.46298611111</v>
      </c>
      <c r="J374" s="68">
        <v>1539</v>
      </c>
      <c r="K374" s="81" t="str">
        <f t="shared" si="15"/>
        <v>OUI</v>
      </c>
      <c r="L374" s="68" t="s">
        <v>16</v>
      </c>
      <c r="M374" s="71" t="s">
        <v>1002</v>
      </c>
      <c r="N374" s="38">
        <v>45708</v>
      </c>
      <c r="O374" s="16" t="str">
        <f t="shared" si="14"/>
        <v>OUI</v>
      </c>
    </row>
    <row r="375" spans="1:15" ht="15" customHeight="1" x14ac:dyDescent="0.3">
      <c r="A375" s="67" t="s">
        <v>212</v>
      </c>
      <c r="B375" s="91" t="s">
        <v>1003</v>
      </c>
      <c r="C375" s="68" t="s">
        <v>206</v>
      </c>
      <c r="D375" s="68" t="s">
        <v>1004</v>
      </c>
      <c r="E375" s="68" t="s">
        <v>27</v>
      </c>
      <c r="F375" s="69">
        <v>45707.350694444445</v>
      </c>
      <c r="G375" s="68">
        <v>1562</v>
      </c>
      <c r="H375" s="68" t="s">
        <v>14</v>
      </c>
      <c r="I375" s="79">
        <v>45726.398449074077</v>
      </c>
      <c r="J375" s="68">
        <v>1540</v>
      </c>
      <c r="K375" s="81" t="str">
        <f t="shared" si="15"/>
        <v>OUI</v>
      </c>
      <c r="L375" s="68" t="s">
        <v>16</v>
      </c>
      <c r="M375" s="71" t="s">
        <v>1005</v>
      </c>
      <c r="N375" s="38">
        <v>45708</v>
      </c>
      <c r="O375" s="16" t="str">
        <f t="shared" si="14"/>
        <v>OUI</v>
      </c>
    </row>
    <row r="376" spans="1:15" ht="15" customHeight="1" x14ac:dyDescent="0.3">
      <c r="A376" s="67" t="s">
        <v>34</v>
      </c>
      <c r="B376" s="91" t="s">
        <v>1006</v>
      </c>
      <c r="C376" s="1" t="s">
        <v>206</v>
      </c>
      <c r="D376" t="s">
        <v>1007</v>
      </c>
      <c r="E376" s="68" t="s">
        <v>38</v>
      </c>
      <c r="F376" s="69">
        <v>45707.374305555553</v>
      </c>
      <c r="G376" s="68">
        <v>1564</v>
      </c>
      <c r="H376" s="68" t="s">
        <v>14</v>
      </c>
      <c r="I376" s="79">
        <v>45819.464409722219</v>
      </c>
      <c r="J376" s="68">
        <v>1541</v>
      </c>
      <c r="K376" s="81" t="str">
        <f t="shared" si="15"/>
        <v>OUI</v>
      </c>
      <c r="L376" s="68" t="s">
        <v>16</v>
      </c>
      <c r="M376" s="71" t="s">
        <v>1008</v>
      </c>
      <c r="N376" s="38">
        <v>45708</v>
      </c>
      <c r="O376" s="16" t="str">
        <f t="shared" si="14"/>
        <v>OUI</v>
      </c>
    </row>
    <row r="377" spans="1:15" ht="15" customHeight="1" x14ac:dyDescent="0.3">
      <c r="A377" s="67" t="s">
        <v>99</v>
      </c>
      <c r="B377" s="91" t="s">
        <v>1009</v>
      </c>
      <c r="C377" s="68" t="s">
        <v>63</v>
      </c>
      <c r="D377" s="68" t="s">
        <v>1010</v>
      </c>
      <c r="E377" s="68" t="s">
        <v>13</v>
      </c>
      <c r="F377" s="69">
        <v>45707.39166666667</v>
      </c>
      <c r="G377" s="68">
        <v>1566</v>
      </c>
      <c r="H377" s="68" t="s">
        <v>14</v>
      </c>
      <c r="I377" s="70"/>
      <c r="J377" s="68">
        <v>1542</v>
      </c>
      <c r="K377" s="81" t="str">
        <f t="shared" si="15"/>
        <v/>
      </c>
      <c r="L377" s="68" t="s">
        <v>16</v>
      </c>
      <c r="M377" s="71"/>
      <c r="O377" s="16" t="str">
        <f t="shared" si="14"/>
        <v/>
      </c>
    </row>
    <row r="378" spans="1:15" ht="15" customHeight="1" x14ac:dyDescent="0.3">
      <c r="A378" s="67" t="s">
        <v>34</v>
      </c>
      <c r="B378" s="91" t="s">
        <v>1009</v>
      </c>
      <c r="C378" s="68" t="s">
        <v>63</v>
      </c>
      <c r="D378" s="68" t="s">
        <v>1011</v>
      </c>
      <c r="E378" s="68" t="s">
        <v>38</v>
      </c>
      <c r="F378" s="69">
        <v>45707.398611111108</v>
      </c>
      <c r="G378" s="68">
        <v>1568</v>
      </c>
      <c r="H378" s="68" t="s">
        <v>14</v>
      </c>
      <c r="I378" s="79">
        <v>45723.511064814818</v>
      </c>
      <c r="J378" s="68">
        <v>1543</v>
      </c>
      <c r="K378" s="81" t="str">
        <f t="shared" si="15"/>
        <v>OUI</v>
      </c>
      <c r="L378" s="68" t="s">
        <v>16</v>
      </c>
      <c r="M378" s="71" t="s">
        <v>1012</v>
      </c>
      <c r="N378" s="38">
        <v>45708</v>
      </c>
      <c r="O378" s="16" t="str">
        <f t="shared" si="14"/>
        <v>OUI</v>
      </c>
    </row>
    <row r="379" spans="1:15" ht="15" customHeight="1" x14ac:dyDescent="0.3">
      <c r="A379" s="67" t="s">
        <v>34</v>
      </c>
      <c r="B379" s="91" t="s">
        <v>1013</v>
      </c>
      <c r="C379" s="68" t="s">
        <v>361</v>
      </c>
      <c r="D379" s="68" t="s">
        <v>1014</v>
      </c>
      <c r="E379" s="68" t="s">
        <v>38</v>
      </c>
      <c r="F379" s="69">
        <v>45707.402777777781</v>
      </c>
      <c r="G379" s="68">
        <v>1544</v>
      </c>
      <c r="H379" s="68" t="s">
        <v>24</v>
      </c>
      <c r="I379" s="79">
        <v>45707.404861111114</v>
      </c>
      <c r="J379" s="68">
        <v>1544</v>
      </c>
      <c r="K379" s="81" t="str">
        <f t="shared" si="15"/>
        <v>OUI</v>
      </c>
      <c r="L379" s="68" t="s">
        <v>16</v>
      </c>
      <c r="M379" s="71" t="s">
        <v>1015</v>
      </c>
      <c r="N379" s="38">
        <v>45707</v>
      </c>
      <c r="O379" s="16" t="str">
        <f t="shared" si="14"/>
        <v>OUI</v>
      </c>
    </row>
    <row r="380" spans="1:15" ht="15" customHeight="1" x14ac:dyDescent="0.3">
      <c r="A380" s="67" t="s">
        <v>34</v>
      </c>
      <c r="B380" s="91" t="s">
        <v>1016</v>
      </c>
      <c r="C380" s="68" t="s">
        <v>106</v>
      </c>
      <c r="D380" s="68" t="s">
        <v>1017</v>
      </c>
      <c r="E380" s="68" t="s">
        <v>38</v>
      </c>
      <c r="F380" s="69">
        <v>45707.414583333331</v>
      </c>
      <c r="G380" s="68">
        <v>1570</v>
      </c>
      <c r="H380" s="68" t="s">
        <v>14</v>
      </c>
      <c r="I380" s="70"/>
      <c r="J380" s="68">
        <v>1545</v>
      </c>
      <c r="K380" s="81" t="str">
        <f t="shared" si="15"/>
        <v/>
      </c>
      <c r="L380" s="68" t="s">
        <v>16</v>
      </c>
      <c r="M380" s="71"/>
      <c r="O380" s="16" t="str">
        <f t="shared" si="14"/>
        <v/>
      </c>
    </row>
    <row r="381" spans="1:15" ht="15" customHeight="1" x14ac:dyDescent="0.3">
      <c r="A381" s="72" t="s">
        <v>34</v>
      </c>
      <c r="B381" s="90" t="s">
        <v>847</v>
      </c>
      <c r="C381" s="73" t="s">
        <v>63</v>
      </c>
      <c r="D381" s="73" t="s">
        <v>1018</v>
      </c>
      <c r="E381" s="73" t="s">
        <v>38</v>
      </c>
      <c r="F381" s="74">
        <v>45707.464583333334</v>
      </c>
      <c r="G381" s="73">
        <v>1546</v>
      </c>
      <c r="H381" s="73" t="s">
        <v>24</v>
      </c>
      <c r="I381" s="80">
        <v>45707.46597222222</v>
      </c>
      <c r="J381" s="73">
        <v>1546</v>
      </c>
      <c r="K381" s="81" t="str">
        <f t="shared" si="15"/>
        <v>OUI</v>
      </c>
      <c r="L381" s="73" t="s">
        <v>16</v>
      </c>
      <c r="M381" s="76" t="s">
        <v>1019</v>
      </c>
      <c r="N381" s="38">
        <v>45707</v>
      </c>
      <c r="O381" s="16" t="str">
        <f t="shared" si="14"/>
        <v>OUI</v>
      </c>
    </row>
    <row r="382" spans="1:15" ht="15" customHeight="1" x14ac:dyDescent="0.3">
      <c r="A382" s="72" t="s">
        <v>34</v>
      </c>
      <c r="B382" s="90" t="s">
        <v>1020</v>
      </c>
      <c r="C382" s="73" t="s">
        <v>26</v>
      </c>
      <c r="D382" s="73" t="s">
        <v>1021</v>
      </c>
      <c r="E382" s="73" t="s">
        <v>38</v>
      </c>
      <c r="F382" s="74">
        <v>45707.46875</v>
      </c>
      <c r="G382" s="73">
        <v>1572</v>
      </c>
      <c r="H382" s="73" t="s">
        <v>14</v>
      </c>
      <c r="I382" s="80">
        <v>45723.464641203704</v>
      </c>
      <c r="J382" s="73">
        <v>1547</v>
      </c>
      <c r="K382" s="81" t="str">
        <f t="shared" ref="K382:K406" si="16">IF(AND(NOT(ISBLANK(I382)), NOT(ISBLANK(M382))), "OUI", "")</f>
        <v>OUI</v>
      </c>
      <c r="L382" s="73" t="s">
        <v>16</v>
      </c>
      <c r="M382" s="76" t="s">
        <v>1022</v>
      </c>
      <c r="N382" s="38">
        <v>45708</v>
      </c>
      <c r="O382" s="16" t="str">
        <f t="shared" ref="O382:O406" si="17">IF(AND(ISBLANK(I382), ISBLANK(N382)), "", "OUI")</f>
        <v>OUI</v>
      </c>
    </row>
    <row r="383" spans="1:15" ht="15" customHeight="1" x14ac:dyDescent="0.3">
      <c r="A383" s="67" t="s">
        <v>32</v>
      </c>
      <c r="B383" s="91" t="s">
        <v>1023</v>
      </c>
      <c r="C383" s="68" t="s">
        <v>443</v>
      </c>
      <c r="D383" t="s">
        <v>1024</v>
      </c>
      <c r="E383" s="68" t="s">
        <v>33</v>
      </c>
      <c r="F383" s="69">
        <v>45707.48541666667</v>
      </c>
      <c r="G383" s="68">
        <v>1574</v>
      </c>
      <c r="H383" s="68" t="s">
        <v>14</v>
      </c>
      <c r="I383" s="79">
        <v>45828.415868055556</v>
      </c>
      <c r="J383" s="68">
        <v>1548</v>
      </c>
      <c r="K383" s="81" t="str">
        <f t="shared" si="16"/>
        <v>OUI</v>
      </c>
      <c r="L383" s="68" t="s">
        <v>16</v>
      </c>
      <c r="M383" s="71" t="s">
        <v>1025</v>
      </c>
      <c r="N383" s="38">
        <v>45846</v>
      </c>
      <c r="O383" s="16" t="str">
        <f t="shared" si="17"/>
        <v>OUI</v>
      </c>
    </row>
    <row r="384" spans="1:15" ht="15" customHeight="1" x14ac:dyDescent="0.3">
      <c r="A384" s="72" t="s">
        <v>34</v>
      </c>
      <c r="B384" s="90" t="s">
        <v>1026</v>
      </c>
      <c r="C384" s="73" t="s">
        <v>66</v>
      </c>
      <c r="D384" s="73" t="s">
        <v>1027</v>
      </c>
      <c r="E384" s="73" t="s">
        <v>38</v>
      </c>
      <c r="F384" s="74">
        <v>45707.497916666667</v>
      </c>
      <c r="G384" s="73">
        <v>1576</v>
      </c>
      <c r="H384" s="73" t="s">
        <v>14</v>
      </c>
      <c r="I384" s="75"/>
      <c r="J384" s="73">
        <v>1549</v>
      </c>
      <c r="K384" s="81" t="str">
        <f t="shared" si="16"/>
        <v/>
      </c>
      <c r="L384" s="73" t="s">
        <v>16</v>
      </c>
      <c r="M384" s="76"/>
      <c r="O384" s="16" t="str">
        <f t="shared" si="17"/>
        <v/>
      </c>
    </row>
    <row r="385" spans="1:15" ht="15" customHeight="1" x14ac:dyDescent="0.3">
      <c r="A385" s="67" t="s">
        <v>34</v>
      </c>
      <c r="B385" s="91" t="s">
        <v>1028</v>
      </c>
      <c r="C385" s="68" t="s">
        <v>88</v>
      </c>
      <c r="D385" s="68" t="s">
        <v>1029</v>
      </c>
      <c r="E385" s="68" t="s">
        <v>38</v>
      </c>
      <c r="F385" s="69">
        <v>45708.421527777777</v>
      </c>
      <c r="G385" s="68">
        <v>1578</v>
      </c>
      <c r="H385" s="68" t="s">
        <v>14</v>
      </c>
      <c r="I385" s="70"/>
      <c r="J385" s="68">
        <v>1550</v>
      </c>
      <c r="K385" s="81" t="str">
        <f t="shared" si="16"/>
        <v/>
      </c>
      <c r="L385" s="68" t="s">
        <v>16</v>
      </c>
      <c r="M385" s="71"/>
      <c r="O385" s="16" t="str">
        <f t="shared" si="17"/>
        <v/>
      </c>
    </row>
    <row r="386" spans="1:15" ht="15" customHeight="1" x14ac:dyDescent="0.3">
      <c r="A386" s="67" t="s">
        <v>34</v>
      </c>
      <c r="B386" s="10" t="s">
        <v>904</v>
      </c>
      <c r="C386" s="68" t="s">
        <v>1030</v>
      </c>
      <c r="D386" s="68" t="s">
        <v>1031</v>
      </c>
      <c r="E386" s="68" t="s">
        <v>38</v>
      </c>
      <c r="F386" s="69">
        <v>45711.272222222222</v>
      </c>
      <c r="G386" s="68">
        <v>1580</v>
      </c>
      <c r="H386" s="68" t="s">
        <v>14</v>
      </c>
      <c r="I386" s="70"/>
      <c r="J386" s="68">
        <v>1551</v>
      </c>
      <c r="K386" s="81" t="str">
        <f t="shared" si="16"/>
        <v/>
      </c>
      <c r="L386" s="68" t="s">
        <v>16</v>
      </c>
      <c r="M386" s="71"/>
      <c r="O386" s="16" t="str">
        <f t="shared" si="17"/>
        <v/>
      </c>
    </row>
    <row r="387" spans="1:15" ht="15" customHeight="1" x14ac:dyDescent="0.3">
      <c r="A387" s="67" t="s">
        <v>17</v>
      </c>
      <c r="B387" s="10" t="s">
        <v>1032</v>
      </c>
      <c r="C387" s="1" t="s">
        <v>562</v>
      </c>
      <c r="D387" s="68" t="s">
        <v>807</v>
      </c>
      <c r="E387" s="68" t="s">
        <v>19</v>
      </c>
      <c r="F387" s="69">
        <v>45712.645833333336</v>
      </c>
      <c r="G387" s="68">
        <v>1582</v>
      </c>
      <c r="H387" s="68" t="s">
        <v>14</v>
      </c>
      <c r="I387" s="79">
        <v>45723.514699074076</v>
      </c>
      <c r="J387" s="68">
        <v>1552</v>
      </c>
      <c r="K387" s="81" t="str">
        <f t="shared" si="16"/>
        <v>OUI</v>
      </c>
      <c r="L387" s="68" t="s">
        <v>165</v>
      </c>
      <c r="M387" s="71" t="s">
        <v>1033</v>
      </c>
      <c r="N387" s="38">
        <v>45712</v>
      </c>
      <c r="O387" s="16" t="str">
        <f t="shared" si="17"/>
        <v>OUI</v>
      </c>
    </row>
    <row r="388" spans="1:15" ht="15" customHeight="1" x14ac:dyDescent="0.3">
      <c r="A388" s="72" t="s">
        <v>17</v>
      </c>
      <c r="B388" s="90" t="s">
        <v>1034</v>
      </c>
      <c r="C388" s="73" t="s">
        <v>443</v>
      </c>
      <c r="D388" s="73" t="s">
        <v>719</v>
      </c>
      <c r="E388" s="73" t="s">
        <v>19</v>
      </c>
      <c r="F388" s="74">
        <v>45714.230555555558</v>
      </c>
      <c r="G388" s="73">
        <v>1584</v>
      </c>
      <c r="H388" s="73" t="s">
        <v>14</v>
      </c>
      <c r="I388" s="80">
        <v>45721.465590277781</v>
      </c>
      <c r="J388" s="73">
        <v>1553</v>
      </c>
      <c r="K388" s="81" t="str">
        <f t="shared" si="16"/>
        <v>OUI</v>
      </c>
      <c r="L388" s="73" t="s">
        <v>16</v>
      </c>
      <c r="M388" s="76" t="s">
        <v>1035</v>
      </c>
      <c r="N388" s="38">
        <v>45720</v>
      </c>
      <c r="O388" s="16" t="str">
        <f t="shared" si="17"/>
        <v>OUI</v>
      </c>
    </row>
    <row r="389" spans="1:15" ht="15" customHeight="1" x14ac:dyDescent="0.3">
      <c r="A389" s="67" t="s">
        <v>34</v>
      </c>
      <c r="B389" s="91" t="s">
        <v>1036</v>
      </c>
      <c r="C389" s="68" t="s">
        <v>279</v>
      </c>
      <c r="D389" s="68" t="s">
        <v>1037</v>
      </c>
      <c r="E389" s="68" t="s">
        <v>38</v>
      </c>
      <c r="F389" s="69">
        <v>45714.352777777778</v>
      </c>
      <c r="G389" s="68">
        <v>1586</v>
      </c>
      <c r="H389" s="68" t="s">
        <v>14</v>
      </c>
      <c r="I389" s="70"/>
      <c r="J389" s="68">
        <v>1554</v>
      </c>
      <c r="K389" s="81" t="str">
        <f t="shared" si="16"/>
        <v/>
      </c>
      <c r="L389" s="68" t="s">
        <v>16</v>
      </c>
      <c r="M389" s="71"/>
      <c r="O389" s="16" t="str">
        <f t="shared" si="17"/>
        <v/>
      </c>
    </row>
    <row r="390" spans="1:15" ht="15" customHeight="1" x14ac:dyDescent="0.3">
      <c r="A390" s="67" t="s">
        <v>34</v>
      </c>
      <c r="B390" s="91" t="s">
        <v>1038</v>
      </c>
      <c r="C390" s="68" t="s">
        <v>26</v>
      </c>
      <c r="D390" s="68" t="s">
        <v>1039</v>
      </c>
      <c r="E390" s="68" t="s">
        <v>38</v>
      </c>
      <c r="F390" s="69">
        <v>45716.616666666669</v>
      </c>
      <c r="G390" s="68">
        <v>1588</v>
      </c>
      <c r="H390" s="68" t="s">
        <v>14</v>
      </c>
      <c r="I390" s="101">
        <v>45721.562916666669</v>
      </c>
      <c r="J390" s="68">
        <v>1555</v>
      </c>
      <c r="K390" s="81" t="str">
        <f t="shared" si="16"/>
        <v>OUI</v>
      </c>
      <c r="L390" s="68" t="s">
        <v>16</v>
      </c>
      <c r="M390" s="71" t="s">
        <v>1040</v>
      </c>
      <c r="N390" s="38">
        <v>45723</v>
      </c>
      <c r="O390" s="16" t="str">
        <f t="shared" si="17"/>
        <v>OUI</v>
      </c>
    </row>
    <row r="391" spans="1:15" ht="15" customHeight="1" x14ac:dyDescent="0.3">
      <c r="A391" s="67" t="s">
        <v>34</v>
      </c>
      <c r="B391" s="91" t="s">
        <v>1041</v>
      </c>
      <c r="C391" s="68" t="s">
        <v>66</v>
      </c>
      <c r="D391" s="68" t="s">
        <v>1042</v>
      </c>
      <c r="E391" s="68" t="s">
        <v>38</v>
      </c>
      <c r="F391" s="69">
        <v>45716.632638888892</v>
      </c>
      <c r="G391" s="68">
        <v>1590</v>
      </c>
      <c r="H391" s="68" t="s">
        <v>14</v>
      </c>
      <c r="I391" s="79">
        <v>45719.647222222222</v>
      </c>
      <c r="J391" s="68">
        <v>1556</v>
      </c>
      <c r="K391" s="81" t="str">
        <f t="shared" si="16"/>
        <v>OUI</v>
      </c>
      <c r="L391" s="68" t="s">
        <v>16</v>
      </c>
      <c r="M391" s="71" t="s">
        <v>1043</v>
      </c>
      <c r="N391" s="38">
        <v>45720</v>
      </c>
      <c r="O391" s="16" t="str">
        <f t="shared" si="17"/>
        <v>OUI</v>
      </c>
    </row>
    <row r="392" spans="1:15" ht="15" customHeight="1" x14ac:dyDescent="0.3">
      <c r="A392" s="67" t="s">
        <v>34</v>
      </c>
      <c r="B392" s="91" t="s">
        <v>1044</v>
      </c>
      <c r="C392" s="68" t="s">
        <v>26</v>
      </c>
      <c r="D392" t="s">
        <v>1045</v>
      </c>
      <c r="E392" s="68" t="s">
        <v>38</v>
      </c>
      <c r="F392" s="69">
        <v>45716.759027777778</v>
      </c>
      <c r="G392" s="68">
        <v>1592</v>
      </c>
      <c r="H392" s="68" t="s">
        <v>14</v>
      </c>
      <c r="I392" s="79">
        <v>45819.46565972222</v>
      </c>
      <c r="J392" s="68">
        <v>1557</v>
      </c>
      <c r="K392" s="81" t="str">
        <f t="shared" si="16"/>
        <v>OUI</v>
      </c>
      <c r="L392" s="68" t="s">
        <v>16</v>
      </c>
      <c r="M392" s="71" t="s">
        <v>1046</v>
      </c>
      <c r="N392" s="38">
        <v>45819</v>
      </c>
      <c r="O392" s="16" t="str">
        <f t="shared" si="17"/>
        <v>OUI</v>
      </c>
    </row>
    <row r="393" spans="1:15" ht="15" customHeight="1" x14ac:dyDescent="0.3">
      <c r="A393" s="72" t="s">
        <v>34</v>
      </c>
      <c r="B393" s="90" t="s">
        <v>1047</v>
      </c>
      <c r="C393" s="73" t="s">
        <v>723</v>
      </c>
      <c r="D393" s="73" t="s">
        <v>1048</v>
      </c>
      <c r="E393" s="73" t="s">
        <v>38</v>
      </c>
      <c r="F393" s="74">
        <v>45717.606249999997</v>
      </c>
      <c r="G393" s="73">
        <v>1594</v>
      </c>
      <c r="H393" s="73" t="s">
        <v>14</v>
      </c>
      <c r="I393" s="80">
        <v>45719.646527777775</v>
      </c>
      <c r="J393" s="73">
        <v>1558</v>
      </c>
      <c r="K393" s="81" t="str">
        <f t="shared" si="16"/>
        <v>OUI</v>
      </c>
      <c r="L393" s="73" t="s">
        <v>16</v>
      </c>
      <c r="M393" s="76" t="s">
        <v>1049</v>
      </c>
      <c r="N393" s="38">
        <v>45720</v>
      </c>
      <c r="O393" s="16" t="str">
        <f t="shared" si="17"/>
        <v>OUI</v>
      </c>
    </row>
    <row r="394" spans="1:15" ht="15" customHeight="1" x14ac:dyDescent="0.3">
      <c r="A394" s="72" t="s">
        <v>34</v>
      </c>
      <c r="B394" s="90" t="s">
        <v>1050</v>
      </c>
      <c r="C394" s="73" t="s">
        <v>361</v>
      </c>
      <c r="D394" s="73" t="s">
        <v>1051</v>
      </c>
      <c r="E394" s="73" t="s">
        <v>38</v>
      </c>
      <c r="F394" s="74">
        <v>45719.540972222225</v>
      </c>
      <c r="G394" s="73">
        <v>1596</v>
      </c>
      <c r="H394" s="73" t="s">
        <v>14</v>
      </c>
      <c r="I394" s="80">
        <v>45737.461678240739</v>
      </c>
      <c r="J394" s="73">
        <v>1559</v>
      </c>
      <c r="K394" s="81" t="str">
        <f t="shared" si="16"/>
        <v>OUI</v>
      </c>
      <c r="L394" s="73" t="s">
        <v>16</v>
      </c>
      <c r="M394" s="76" t="s">
        <v>1052</v>
      </c>
      <c r="N394" s="38">
        <v>45819</v>
      </c>
      <c r="O394" s="16" t="str">
        <f t="shared" si="17"/>
        <v>OUI</v>
      </c>
    </row>
    <row r="395" spans="1:15" ht="15" customHeight="1" x14ac:dyDescent="0.3">
      <c r="A395" s="67" t="s">
        <v>34</v>
      </c>
      <c r="B395" s="10" t="s">
        <v>1053</v>
      </c>
      <c r="C395" s="68" t="s">
        <v>226</v>
      </c>
      <c r="D395" s="68" t="s">
        <v>1054</v>
      </c>
      <c r="E395" s="68" t="s">
        <v>38</v>
      </c>
      <c r="F395" s="69">
        <v>45721.576388888891</v>
      </c>
      <c r="G395" s="68">
        <v>1560</v>
      </c>
      <c r="H395" s="68" t="s">
        <v>24</v>
      </c>
      <c r="I395" s="79">
        <v>45721.679861111108</v>
      </c>
      <c r="J395" s="68">
        <v>1560</v>
      </c>
      <c r="K395" s="81" t="str">
        <f t="shared" si="16"/>
        <v>OUI</v>
      </c>
      <c r="L395" s="68" t="s">
        <v>16</v>
      </c>
      <c r="M395" s="71" t="s">
        <v>1055</v>
      </c>
      <c r="N395" s="38">
        <v>45721</v>
      </c>
      <c r="O395" s="16" t="str">
        <f t="shared" si="17"/>
        <v>OUI</v>
      </c>
    </row>
    <row r="396" spans="1:15" ht="15" customHeight="1" x14ac:dyDescent="0.3">
      <c r="A396" s="72" t="s">
        <v>17</v>
      </c>
      <c r="B396" s="90" t="s">
        <v>722</v>
      </c>
      <c r="C396" s="73" t="s">
        <v>562</v>
      </c>
      <c r="D396" t="s">
        <v>1056</v>
      </c>
      <c r="E396" s="73" t="s">
        <v>19</v>
      </c>
      <c r="F396" s="74">
        <v>45722.573611111111</v>
      </c>
      <c r="G396" s="73">
        <v>1598</v>
      </c>
      <c r="H396" s="73" t="s">
        <v>14</v>
      </c>
      <c r="I396" s="80">
        <v>45819.467164351852</v>
      </c>
      <c r="J396" s="98">
        <v>1561</v>
      </c>
      <c r="K396" s="81" t="str">
        <f t="shared" si="16"/>
        <v>OUI</v>
      </c>
      <c r="L396" s="73" t="s">
        <v>16</v>
      </c>
      <c r="M396" s="76" t="s">
        <v>1057</v>
      </c>
      <c r="N396" s="38">
        <v>45723</v>
      </c>
      <c r="O396" s="16" t="str">
        <f t="shared" si="17"/>
        <v>OUI</v>
      </c>
    </row>
    <row r="397" spans="1:15" ht="15" customHeight="1" x14ac:dyDescent="0.3">
      <c r="A397" s="72" t="s">
        <v>34</v>
      </c>
      <c r="B397" s="90" t="s">
        <v>1058</v>
      </c>
      <c r="C397" s="73" t="s">
        <v>184</v>
      </c>
      <c r="D397" s="83" t="s">
        <v>1059</v>
      </c>
      <c r="E397" s="73" t="s">
        <v>38</v>
      </c>
      <c r="F397" s="74">
        <v>45722.650694444441</v>
      </c>
      <c r="G397" s="73">
        <v>1600</v>
      </c>
      <c r="H397" s="73" t="s">
        <v>14</v>
      </c>
      <c r="I397" s="80">
        <v>45966.775370370371</v>
      </c>
      <c r="J397" s="73">
        <v>1562</v>
      </c>
      <c r="K397" s="81" t="str">
        <f t="shared" si="16"/>
        <v>OUI</v>
      </c>
      <c r="L397" s="73" t="s">
        <v>16</v>
      </c>
      <c r="M397" s="76" t="s">
        <v>1060</v>
      </c>
      <c r="N397" s="38">
        <v>45966</v>
      </c>
      <c r="O397" s="16" t="str">
        <f t="shared" si="17"/>
        <v>OUI</v>
      </c>
    </row>
    <row r="398" spans="1:15" ht="15" customHeight="1" x14ac:dyDescent="0.3">
      <c r="A398" s="72" t="s">
        <v>209</v>
      </c>
      <c r="B398" s="90" t="s">
        <v>1061</v>
      </c>
      <c r="C398" s="73" t="s">
        <v>1062</v>
      </c>
      <c r="D398" t="s">
        <v>1063</v>
      </c>
      <c r="E398" s="73" t="s">
        <v>57</v>
      </c>
      <c r="F398" s="74">
        <v>45726.152083333334</v>
      </c>
      <c r="G398" s="73">
        <v>1602</v>
      </c>
      <c r="H398" s="73" t="s">
        <v>14</v>
      </c>
      <c r="I398" s="80">
        <v>45819.468807870369</v>
      </c>
      <c r="J398" s="73">
        <v>1563</v>
      </c>
      <c r="K398" s="81" t="str">
        <f t="shared" si="16"/>
        <v>OUI</v>
      </c>
      <c r="L398" s="73" t="s">
        <v>16</v>
      </c>
      <c r="M398" s="76" t="s">
        <v>1064</v>
      </c>
      <c r="N398" s="38">
        <v>45755</v>
      </c>
      <c r="O398" s="16" t="str">
        <f t="shared" si="17"/>
        <v>OUI</v>
      </c>
    </row>
    <row r="399" spans="1:15" ht="15" customHeight="1" x14ac:dyDescent="0.3">
      <c r="A399" s="72" t="s">
        <v>34</v>
      </c>
      <c r="B399" s="90" t="s">
        <v>1065</v>
      </c>
      <c r="C399" s="73" t="s">
        <v>172</v>
      </c>
      <c r="D399" s="73" t="s">
        <v>1066</v>
      </c>
      <c r="E399" s="73" t="s">
        <v>38</v>
      </c>
      <c r="F399" s="74">
        <v>45726.529166666667</v>
      </c>
      <c r="G399" s="73">
        <v>1604</v>
      </c>
      <c r="H399" s="73" t="s">
        <v>14</v>
      </c>
      <c r="I399" s="75"/>
      <c r="J399" s="73">
        <v>1564</v>
      </c>
      <c r="K399" s="81" t="str">
        <f t="shared" si="16"/>
        <v/>
      </c>
      <c r="L399" s="73" t="s">
        <v>16</v>
      </c>
      <c r="M399" s="76"/>
      <c r="O399" s="16" t="str">
        <f t="shared" si="17"/>
        <v/>
      </c>
    </row>
    <row r="400" spans="1:15" ht="15" customHeight="1" x14ac:dyDescent="0.3">
      <c r="A400" s="72" t="s">
        <v>34</v>
      </c>
      <c r="B400" s="90" t="s">
        <v>1067</v>
      </c>
      <c r="C400" s="73" t="s">
        <v>47</v>
      </c>
      <c r="D400" s="73" t="s">
        <v>1068</v>
      </c>
      <c r="E400" s="73" t="s">
        <v>38</v>
      </c>
      <c r="F400" s="74">
        <v>45726.677083333336</v>
      </c>
      <c r="G400" s="73">
        <v>1606</v>
      </c>
      <c r="H400" s="73" t="s">
        <v>14</v>
      </c>
      <c r="I400" s="80">
        <v>45824.374131944445</v>
      </c>
      <c r="J400" s="73">
        <v>1565</v>
      </c>
      <c r="K400" s="81" t="str">
        <f t="shared" si="16"/>
        <v>OUI</v>
      </c>
      <c r="L400" s="73" t="s">
        <v>16</v>
      </c>
      <c r="M400" s="76" t="s">
        <v>1069</v>
      </c>
      <c r="N400" s="38">
        <v>45706</v>
      </c>
      <c r="O400" s="16" t="str">
        <f t="shared" si="17"/>
        <v>OUI</v>
      </c>
    </row>
    <row r="401" spans="1:15" ht="15" customHeight="1" x14ac:dyDescent="0.3">
      <c r="A401" s="67" t="s">
        <v>34</v>
      </c>
      <c r="B401" s="91" t="s">
        <v>1070</v>
      </c>
      <c r="C401" s="1" t="s">
        <v>709</v>
      </c>
      <c r="D401" s="68" t="s">
        <v>1071</v>
      </c>
      <c r="E401" s="68" t="s">
        <v>38</v>
      </c>
      <c r="F401" s="69">
        <v>45727.366666666669</v>
      </c>
      <c r="G401" s="68">
        <v>1608</v>
      </c>
      <c r="H401" s="68" t="s">
        <v>14</v>
      </c>
      <c r="I401" s="79">
        <v>45758.409131944441</v>
      </c>
      <c r="J401" s="68">
        <v>1566</v>
      </c>
      <c r="K401" s="81" t="str">
        <f t="shared" si="16"/>
        <v>OUI</v>
      </c>
      <c r="L401" s="68" t="s">
        <v>16</v>
      </c>
      <c r="M401" s="71" t="s">
        <v>1072</v>
      </c>
      <c r="N401" s="38">
        <v>45763</v>
      </c>
      <c r="O401" s="16" t="str">
        <f t="shared" si="17"/>
        <v>OUI</v>
      </c>
    </row>
    <row r="402" spans="1:15" ht="15" customHeight="1" x14ac:dyDescent="0.3">
      <c r="A402" s="72" t="s">
        <v>58</v>
      </c>
      <c r="B402" s="94" t="s">
        <v>1073</v>
      </c>
      <c r="C402" s="73" t="s">
        <v>1074</v>
      </c>
      <c r="D402" t="s">
        <v>1075</v>
      </c>
      <c r="E402" s="73" t="s">
        <v>61</v>
      </c>
      <c r="F402" s="74">
        <v>45728.393055555556</v>
      </c>
      <c r="G402" s="73">
        <v>1569</v>
      </c>
      <c r="H402" s="73" t="s">
        <v>24</v>
      </c>
      <c r="I402" s="80">
        <v>45728.408333333333</v>
      </c>
      <c r="J402" s="73">
        <v>1569</v>
      </c>
      <c r="K402" s="81" t="str">
        <f t="shared" si="16"/>
        <v>OUI</v>
      </c>
      <c r="L402" s="68" t="s">
        <v>16</v>
      </c>
      <c r="M402" s="76" t="s">
        <v>1076</v>
      </c>
      <c r="N402" s="38">
        <v>45756</v>
      </c>
      <c r="O402" s="16" t="str">
        <f t="shared" si="17"/>
        <v>OUI</v>
      </c>
    </row>
    <row r="403" spans="1:15" ht="15" customHeight="1" x14ac:dyDescent="0.3">
      <c r="A403" s="67" t="s">
        <v>10</v>
      </c>
      <c r="B403" s="10" t="s">
        <v>1077</v>
      </c>
      <c r="C403" s="1" t="s">
        <v>376</v>
      </c>
      <c r="D403" t="s">
        <v>1078</v>
      </c>
      <c r="E403" s="68" t="s">
        <v>13</v>
      </c>
      <c r="F403" s="69">
        <v>45728.407638888886</v>
      </c>
      <c r="G403" s="68">
        <v>1570</v>
      </c>
      <c r="H403" s="68" t="s">
        <v>24</v>
      </c>
      <c r="I403" s="79">
        <v>45728.408333333333</v>
      </c>
      <c r="J403" s="68">
        <v>1570</v>
      </c>
      <c r="K403" s="81" t="str">
        <f t="shared" si="16"/>
        <v>OUI</v>
      </c>
      <c r="L403" s="68" t="s">
        <v>16</v>
      </c>
      <c r="M403" s="71" t="s">
        <v>1079</v>
      </c>
      <c r="N403" s="38">
        <v>45728</v>
      </c>
      <c r="O403" s="16" t="str">
        <f t="shared" si="17"/>
        <v>OUI</v>
      </c>
    </row>
    <row r="404" spans="1:15" ht="15" customHeight="1" x14ac:dyDescent="0.3">
      <c r="A404" s="72" t="s">
        <v>17</v>
      </c>
      <c r="B404" s="90" t="s">
        <v>426</v>
      </c>
      <c r="C404" s="1" t="s">
        <v>259</v>
      </c>
      <c r="D404" s="1" t="s">
        <v>1080</v>
      </c>
      <c r="E404" s="73" t="s">
        <v>19</v>
      </c>
      <c r="F404" s="74">
        <v>45730.540972222225</v>
      </c>
      <c r="G404" s="73">
        <v>1612</v>
      </c>
      <c r="H404" s="73" t="s">
        <v>14</v>
      </c>
      <c r="I404" s="80">
        <v>45762.431539351855</v>
      </c>
      <c r="J404" s="73">
        <v>1571</v>
      </c>
      <c r="K404" s="81" t="str">
        <f t="shared" si="16"/>
        <v>OUI</v>
      </c>
      <c r="L404" s="73" t="s">
        <v>16</v>
      </c>
      <c r="M404" s="76" t="s">
        <v>1081</v>
      </c>
      <c r="N404" s="38">
        <v>45748</v>
      </c>
      <c r="O404" s="16" t="str">
        <f t="shared" si="17"/>
        <v>OUI</v>
      </c>
    </row>
    <row r="405" spans="1:15" ht="15" customHeight="1" x14ac:dyDescent="0.3">
      <c r="A405" s="67" t="s">
        <v>32</v>
      </c>
      <c r="B405" s="10" t="s">
        <v>1082</v>
      </c>
      <c r="C405" s="73" t="s">
        <v>376</v>
      </c>
      <c r="D405" s="99" t="s">
        <v>1083</v>
      </c>
      <c r="E405" s="68" t="s">
        <v>33</v>
      </c>
      <c r="F405" s="69">
        <v>45731.435416666667</v>
      </c>
      <c r="G405" s="68">
        <v>1572</v>
      </c>
      <c r="H405" s="68" t="s">
        <v>24</v>
      </c>
      <c r="I405" s="79">
        <v>45731.4375</v>
      </c>
      <c r="J405" s="68">
        <v>1572</v>
      </c>
      <c r="K405" s="81" t="str">
        <f t="shared" si="16"/>
        <v>OUI</v>
      </c>
      <c r="L405" s="68" t="s">
        <v>16</v>
      </c>
      <c r="M405" s="71" t="s">
        <v>1084</v>
      </c>
      <c r="N405" s="38">
        <v>45731</v>
      </c>
      <c r="O405" s="16" t="str">
        <f t="shared" si="17"/>
        <v>OUI</v>
      </c>
    </row>
    <row r="406" spans="1:15" ht="15" customHeight="1" x14ac:dyDescent="0.3">
      <c r="A406" s="67" t="s">
        <v>99</v>
      </c>
      <c r="B406" s="91" t="s">
        <v>1085</v>
      </c>
      <c r="C406" s="68" t="s">
        <v>26</v>
      </c>
      <c r="D406" t="s">
        <v>1086</v>
      </c>
      <c r="E406" s="68" t="s">
        <v>13</v>
      </c>
      <c r="F406" s="69">
        <v>45734.65347222222</v>
      </c>
      <c r="G406" s="68">
        <v>1613</v>
      </c>
      <c r="H406" s="68" t="s">
        <v>24</v>
      </c>
      <c r="I406" s="70"/>
      <c r="J406" s="68">
        <v>1573</v>
      </c>
      <c r="K406" s="81" t="str">
        <f t="shared" si="16"/>
        <v/>
      </c>
      <c r="L406" s="68" t="s">
        <v>16</v>
      </c>
      <c r="M406" s="71"/>
      <c r="O406" s="16" t="str">
        <f t="shared" si="17"/>
        <v/>
      </c>
    </row>
    <row r="407" spans="1:15" ht="15" customHeight="1" x14ac:dyDescent="0.3">
      <c r="A407" s="72" t="s">
        <v>209</v>
      </c>
      <c r="B407" s="90" t="s">
        <v>1087</v>
      </c>
      <c r="C407" s="73" t="s">
        <v>394</v>
      </c>
      <c r="D407" s="73" t="s">
        <v>1088</v>
      </c>
      <c r="E407" s="73" t="s">
        <v>57</v>
      </c>
      <c r="F407" s="74">
        <v>45736.385416666664</v>
      </c>
      <c r="G407" s="73">
        <v>1615</v>
      </c>
      <c r="H407" s="73" t="s">
        <v>14</v>
      </c>
      <c r="I407" s="75"/>
      <c r="J407" s="73">
        <v>1574</v>
      </c>
      <c r="K407" s="81" t="str">
        <f t="shared" si="15"/>
        <v/>
      </c>
      <c r="L407" s="73" t="s">
        <v>16</v>
      </c>
      <c r="M407" s="88"/>
      <c r="N407" s="38">
        <v>45952</v>
      </c>
      <c r="O407" s="16" t="str">
        <f t="shared" ref="O407:O459" si="18">IF(AND(ISBLANK(I407), ISBLANK(N407)), "", "OUI")</f>
        <v>OUI</v>
      </c>
    </row>
    <row r="408" spans="1:15" ht="15" customHeight="1" x14ac:dyDescent="0.3">
      <c r="A408" s="72" t="s">
        <v>34</v>
      </c>
      <c r="B408" s="90" t="s">
        <v>1089</v>
      </c>
      <c r="C408" s="73" t="s">
        <v>26</v>
      </c>
      <c r="D408" s="73" t="s">
        <v>1090</v>
      </c>
      <c r="E408" s="73" t="s">
        <v>38</v>
      </c>
      <c r="F408" s="74">
        <v>45738.797222222223</v>
      </c>
      <c r="G408" s="73">
        <v>1576</v>
      </c>
      <c r="H408" s="73" t="s">
        <v>24</v>
      </c>
      <c r="I408" s="80">
        <v>45738.803472222222</v>
      </c>
      <c r="J408" s="73">
        <v>1576</v>
      </c>
      <c r="K408" s="81" t="str">
        <f t="shared" si="15"/>
        <v>OUI</v>
      </c>
      <c r="L408" s="73" t="s">
        <v>16</v>
      </c>
      <c r="M408" s="76" t="s">
        <v>1091</v>
      </c>
      <c r="N408" s="38">
        <v>45738</v>
      </c>
      <c r="O408" s="16" t="str">
        <f t="shared" si="18"/>
        <v>OUI</v>
      </c>
    </row>
    <row r="409" spans="1:15" ht="15" customHeight="1" x14ac:dyDescent="0.3">
      <c r="A409" s="67" t="s">
        <v>34</v>
      </c>
      <c r="B409" s="91" t="s">
        <v>1092</v>
      </c>
      <c r="C409" s="68" t="s">
        <v>26</v>
      </c>
      <c r="D409" s="68" t="s">
        <v>1093</v>
      </c>
      <c r="E409" s="68" t="s">
        <v>38</v>
      </c>
      <c r="F409" s="69">
        <v>45740.689583333333</v>
      </c>
      <c r="G409" s="68">
        <v>1619</v>
      </c>
      <c r="H409" s="68" t="s">
        <v>14</v>
      </c>
      <c r="I409" s="79">
        <v>45741.616157407407</v>
      </c>
      <c r="J409" s="68">
        <v>1577</v>
      </c>
      <c r="K409" s="81" t="str">
        <f t="shared" si="15"/>
        <v>OUI</v>
      </c>
      <c r="L409" s="68" t="s">
        <v>16</v>
      </c>
      <c r="M409" s="71" t="s">
        <v>1094</v>
      </c>
      <c r="N409" s="38">
        <v>45748</v>
      </c>
      <c r="O409" s="16" t="str">
        <f t="shared" si="18"/>
        <v>OUI</v>
      </c>
    </row>
    <row r="410" spans="1:15" ht="15" customHeight="1" x14ac:dyDescent="0.3">
      <c r="A410" s="67" t="s">
        <v>34</v>
      </c>
      <c r="B410" s="91" t="s">
        <v>1095</v>
      </c>
      <c r="C410" s="68" t="s">
        <v>26</v>
      </c>
      <c r="D410" s="68" t="s">
        <v>1096</v>
      </c>
      <c r="E410" s="68" t="s">
        <v>38</v>
      </c>
      <c r="F410" s="69">
        <v>45741.675694444442</v>
      </c>
      <c r="G410" s="68">
        <v>1621</v>
      </c>
      <c r="H410" s="68" t="s">
        <v>14</v>
      </c>
      <c r="I410" s="79">
        <v>45741.718055555553</v>
      </c>
      <c r="J410" s="68">
        <v>1578</v>
      </c>
      <c r="K410" s="81" t="str">
        <f t="shared" si="15"/>
        <v>OUI</v>
      </c>
      <c r="L410" s="68" t="s">
        <v>16</v>
      </c>
      <c r="M410" s="71" t="s">
        <v>1097</v>
      </c>
      <c r="N410" s="38">
        <v>45748</v>
      </c>
      <c r="O410" s="16" t="str">
        <f t="shared" si="18"/>
        <v>OUI</v>
      </c>
    </row>
    <row r="411" spans="1:15" ht="15" customHeight="1" x14ac:dyDescent="0.3">
      <c r="A411" s="67" t="s">
        <v>20</v>
      </c>
      <c r="B411" s="91" t="s">
        <v>1098</v>
      </c>
      <c r="C411" s="68" t="s">
        <v>404</v>
      </c>
      <c r="D411" s="68" t="s">
        <v>1099</v>
      </c>
      <c r="E411" s="68" t="s">
        <v>23</v>
      </c>
      <c r="F411" s="69">
        <v>45741.925694444442</v>
      </c>
      <c r="G411" s="68">
        <v>1579</v>
      </c>
      <c r="H411" s="68" t="s">
        <v>24</v>
      </c>
      <c r="I411" s="79">
        <v>45741.927777777775</v>
      </c>
      <c r="J411" s="68">
        <v>1579</v>
      </c>
      <c r="K411" s="81" t="str">
        <f t="shared" si="15"/>
        <v>OUI</v>
      </c>
      <c r="L411" s="68" t="s">
        <v>16</v>
      </c>
      <c r="M411" s="71" t="s">
        <v>1100</v>
      </c>
      <c r="N411" s="38">
        <v>45741</v>
      </c>
      <c r="O411" s="16" t="str">
        <f t="shared" si="18"/>
        <v>OUI</v>
      </c>
    </row>
    <row r="412" spans="1:15" ht="15" customHeight="1" x14ac:dyDescent="0.3">
      <c r="A412" s="72" t="s">
        <v>34</v>
      </c>
      <c r="B412" s="90" t="s">
        <v>1101</v>
      </c>
      <c r="C412" s="73" t="s">
        <v>66</v>
      </c>
      <c r="D412" t="s">
        <v>1102</v>
      </c>
      <c r="E412" s="73" t="s">
        <v>38</v>
      </c>
      <c r="F412" s="74">
        <v>45744.509027777778</v>
      </c>
      <c r="G412" s="73">
        <v>1582</v>
      </c>
      <c r="H412" s="73" t="s">
        <v>24</v>
      </c>
      <c r="I412" s="80">
        <v>45744.510416666664</v>
      </c>
      <c r="J412" s="73">
        <v>1582</v>
      </c>
      <c r="K412" s="81" t="str">
        <f t="shared" si="15"/>
        <v>OUI</v>
      </c>
      <c r="L412" s="73" t="s">
        <v>16</v>
      </c>
      <c r="M412" s="76" t="s">
        <v>1103</v>
      </c>
      <c r="N412" s="38">
        <v>45744</v>
      </c>
      <c r="O412" s="16" t="str">
        <f t="shared" si="18"/>
        <v>OUI</v>
      </c>
    </row>
    <row r="413" spans="1:15" ht="15" customHeight="1" x14ac:dyDescent="0.3">
      <c r="A413" s="67" t="s">
        <v>209</v>
      </c>
      <c r="B413" s="91" t="s">
        <v>1104</v>
      </c>
      <c r="C413" s="68" t="s">
        <v>1105</v>
      </c>
      <c r="D413" s="99" t="s">
        <v>1106</v>
      </c>
      <c r="E413" s="68" t="s">
        <v>57</v>
      </c>
      <c r="F413" s="69">
        <v>45748.429861111108</v>
      </c>
      <c r="G413" s="68">
        <v>1583</v>
      </c>
      <c r="H413" s="68" t="s">
        <v>24</v>
      </c>
      <c r="I413" s="79">
        <v>45748.436111111114</v>
      </c>
      <c r="J413" s="68">
        <v>1583</v>
      </c>
      <c r="K413" s="81" t="str">
        <f t="shared" si="15"/>
        <v>OUI</v>
      </c>
      <c r="L413" s="68" t="s">
        <v>16</v>
      </c>
      <c r="M413" s="71" t="s">
        <v>1107</v>
      </c>
      <c r="N413" s="38">
        <v>45748</v>
      </c>
      <c r="O413" s="16" t="str">
        <f t="shared" si="18"/>
        <v>OUI</v>
      </c>
    </row>
    <row r="414" spans="1:15" ht="15" customHeight="1" x14ac:dyDescent="0.3">
      <c r="A414" s="67" t="s">
        <v>34</v>
      </c>
      <c r="B414" s="10" t="s">
        <v>1108</v>
      </c>
      <c r="C414" s="68" t="s">
        <v>172</v>
      </c>
      <c r="D414" s="68" t="s">
        <v>1109</v>
      </c>
      <c r="E414" s="68" t="s">
        <v>38</v>
      </c>
      <c r="F414" s="69">
        <v>45754.531944444447</v>
      </c>
      <c r="G414" s="68">
        <v>1586</v>
      </c>
      <c r="H414" s="68" t="s">
        <v>24</v>
      </c>
      <c r="I414" s="79">
        <v>45754.533333333333</v>
      </c>
      <c r="J414" s="68">
        <v>1586</v>
      </c>
      <c r="K414" s="81" t="str">
        <f t="shared" si="15"/>
        <v>OUI</v>
      </c>
      <c r="L414" s="68" t="s">
        <v>16</v>
      </c>
      <c r="M414" s="71" t="s">
        <v>1110</v>
      </c>
      <c r="N414" s="38">
        <v>45754</v>
      </c>
      <c r="O414" s="16" t="str">
        <f t="shared" si="18"/>
        <v>OUI</v>
      </c>
    </row>
    <row r="415" spans="1:15" ht="15" customHeight="1" x14ac:dyDescent="0.3">
      <c r="A415" s="72" t="s">
        <v>10</v>
      </c>
      <c r="B415" s="10" t="s">
        <v>1111</v>
      </c>
      <c r="C415" s="1" t="s">
        <v>66</v>
      </c>
      <c r="D415" s="73" t="s">
        <v>1112</v>
      </c>
      <c r="E415" s="73" t="s">
        <v>13</v>
      </c>
      <c r="F415" s="74">
        <v>45754.540277777778</v>
      </c>
      <c r="G415" s="73">
        <v>1627</v>
      </c>
      <c r="H415" s="73" t="s">
        <v>14</v>
      </c>
      <c r="I415" s="75"/>
      <c r="J415" s="73">
        <v>1587</v>
      </c>
      <c r="K415" s="81" t="str">
        <f t="shared" si="15"/>
        <v/>
      </c>
      <c r="L415" s="73" t="s">
        <v>16</v>
      </c>
      <c r="M415" s="76"/>
      <c r="O415" s="16" t="str">
        <f t="shared" si="18"/>
        <v/>
      </c>
    </row>
    <row r="416" spans="1:15" ht="15" customHeight="1" x14ac:dyDescent="0.3">
      <c r="A416" s="67" t="s">
        <v>17</v>
      </c>
      <c r="B416" s="91" t="s">
        <v>1113</v>
      </c>
      <c r="C416" s="68" t="s">
        <v>88</v>
      </c>
      <c r="D416" s="68" t="s">
        <v>1114</v>
      </c>
      <c r="E416" s="68" t="s">
        <v>19</v>
      </c>
      <c r="F416" s="69">
        <v>45754.760416666664</v>
      </c>
      <c r="G416" s="68">
        <v>1629</v>
      </c>
      <c r="H416" s="68" t="s">
        <v>14</v>
      </c>
      <c r="I416" s="79">
        <v>45756.415532407409</v>
      </c>
      <c r="J416" s="68">
        <v>1588</v>
      </c>
      <c r="K416" s="81" t="str">
        <f t="shared" si="15"/>
        <v>OUI</v>
      </c>
      <c r="L416" s="68" t="s">
        <v>16</v>
      </c>
      <c r="M416" s="71" t="s">
        <v>1115</v>
      </c>
      <c r="N416" s="38">
        <v>45755</v>
      </c>
      <c r="O416" s="16" t="str">
        <f t="shared" si="18"/>
        <v>OUI</v>
      </c>
    </row>
    <row r="417" spans="1:15" ht="15" customHeight="1" x14ac:dyDescent="0.3">
      <c r="A417" s="67" t="s">
        <v>58</v>
      </c>
      <c r="B417" s="91" t="s">
        <v>1116</v>
      </c>
      <c r="C417" s="68" t="s">
        <v>376</v>
      </c>
      <c r="D417" t="s">
        <v>1117</v>
      </c>
      <c r="E417" s="68" t="s">
        <v>61</v>
      </c>
      <c r="F417" s="69">
        <v>45757.386111111111</v>
      </c>
      <c r="G417" s="68">
        <v>1590</v>
      </c>
      <c r="H417" s="68" t="s">
        <v>24</v>
      </c>
      <c r="I417" s="79">
        <v>45757.395833333336</v>
      </c>
      <c r="J417" s="68">
        <v>1590</v>
      </c>
      <c r="K417" s="81" t="str">
        <f t="shared" si="15"/>
        <v>OUI</v>
      </c>
      <c r="L417" s="68" t="s">
        <v>16</v>
      </c>
      <c r="M417" s="71" t="s">
        <v>1118</v>
      </c>
      <c r="N417" s="38">
        <v>45757</v>
      </c>
      <c r="O417" s="16" t="str">
        <f t="shared" si="18"/>
        <v>OUI</v>
      </c>
    </row>
    <row r="418" spans="1:15" ht="15" customHeight="1" x14ac:dyDescent="0.3">
      <c r="A418" s="67" t="s">
        <v>34</v>
      </c>
      <c r="B418" s="91" t="s">
        <v>1119</v>
      </c>
      <c r="C418" s="68" t="s">
        <v>488</v>
      </c>
      <c r="D418" s="68" t="s">
        <v>1120</v>
      </c>
      <c r="E418" s="68" t="s">
        <v>38</v>
      </c>
      <c r="F418" s="69">
        <v>45758.034722222219</v>
      </c>
      <c r="G418" s="68">
        <v>1591</v>
      </c>
      <c r="H418" s="68" t="s">
        <v>24</v>
      </c>
      <c r="I418" s="79">
        <v>45758.038194444445</v>
      </c>
      <c r="J418" s="68">
        <v>1591</v>
      </c>
      <c r="K418" s="81" t="str">
        <f t="shared" si="15"/>
        <v>OUI</v>
      </c>
      <c r="L418" s="68" t="s">
        <v>16</v>
      </c>
      <c r="M418" s="71" t="s">
        <v>1121</v>
      </c>
      <c r="N418" s="38">
        <v>45758</v>
      </c>
      <c r="O418" s="16" t="str">
        <f t="shared" si="18"/>
        <v>OUI</v>
      </c>
    </row>
    <row r="419" spans="1:15" ht="15" customHeight="1" x14ac:dyDescent="0.3">
      <c r="A419" s="67" t="s">
        <v>212</v>
      </c>
      <c r="B419" s="91" t="s">
        <v>1122</v>
      </c>
      <c r="C419" s="68" t="s">
        <v>1123</v>
      </c>
      <c r="D419" s="68" t="s">
        <v>1124</v>
      </c>
      <c r="E419" s="68" t="s">
        <v>27</v>
      </c>
      <c r="F419" s="69">
        <v>45758.125694444447</v>
      </c>
      <c r="G419" s="68">
        <v>1592</v>
      </c>
      <c r="H419" s="68" t="s">
        <v>24</v>
      </c>
      <c r="I419" s="79">
        <v>45758.12777777778</v>
      </c>
      <c r="J419" s="68">
        <v>1592</v>
      </c>
      <c r="K419" s="81" t="str">
        <f t="shared" si="15"/>
        <v>OUI</v>
      </c>
      <c r="L419" s="68" t="s">
        <v>16</v>
      </c>
      <c r="M419" s="71" t="s">
        <v>1125</v>
      </c>
      <c r="N419" s="38">
        <v>45758</v>
      </c>
      <c r="O419" s="16" t="str">
        <f t="shared" si="18"/>
        <v>OUI</v>
      </c>
    </row>
    <row r="420" spans="1:15" ht="15" customHeight="1" x14ac:dyDescent="0.3">
      <c r="A420" s="67" t="s">
        <v>34</v>
      </c>
      <c r="B420" s="91" t="s">
        <v>1126</v>
      </c>
      <c r="C420" s="68" t="s">
        <v>279</v>
      </c>
      <c r="D420" s="68" t="s">
        <v>1127</v>
      </c>
      <c r="E420" s="68" t="s">
        <v>38</v>
      </c>
      <c r="F420" s="69">
        <v>45762.276388888888</v>
      </c>
      <c r="G420" s="68">
        <v>1632</v>
      </c>
      <c r="H420" s="68" t="s">
        <v>14</v>
      </c>
      <c r="I420" s="70"/>
      <c r="J420" s="68">
        <v>1593</v>
      </c>
      <c r="K420" s="81" t="str">
        <f t="shared" si="15"/>
        <v/>
      </c>
      <c r="L420" s="68" t="s">
        <v>16</v>
      </c>
      <c r="M420" s="71"/>
      <c r="O420" s="16" t="str">
        <f t="shared" si="18"/>
        <v/>
      </c>
    </row>
    <row r="421" spans="1:15" ht="15" customHeight="1" x14ac:dyDescent="0.3">
      <c r="A421" s="67" t="s">
        <v>34</v>
      </c>
      <c r="B421" s="91" t="s">
        <v>1128</v>
      </c>
      <c r="C421" s="68" t="s">
        <v>66</v>
      </c>
      <c r="D421" t="s">
        <v>1129</v>
      </c>
      <c r="E421" s="68" t="s">
        <v>38</v>
      </c>
      <c r="F421" s="69">
        <v>45763.512499999997</v>
      </c>
      <c r="G421" s="68">
        <v>1594</v>
      </c>
      <c r="H421" s="68" t="s">
        <v>24</v>
      </c>
      <c r="I421" s="79">
        <v>45763.522916666669</v>
      </c>
      <c r="J421" s="68">
        <v>1594</v>
      </c>
      <c r="K421" s="81" t="str">
        <f t="shared" si="15"/>
        <v>OUI</v>
      </c>
      <c r="L421" s="68" t="s">
        <v>16</v>
      </c>
      <c r="M421" s="71" t="s">
        <v>1130</v>
      </c>
      <c r="N421" s="38">
        <v>45763</v>
      </c>
      <c r="O421" s="16" t="str">
        <f t="shared" si="18"/>
        <v>OUI</v>
      </c>
    </row>
    <row r="422" spans="1:15" ht="15" customHeight="1" x14ac:dyDescent="0.3">
      <c r="A422" s="67" t="s">
        <v>34</v>
      </c>
      <c r="B422" s="91" t="s">
        <v>1131</v>
      </c>
      <c r="C422" s="68" t="s">
        <v>66</v>
      </c>
      <c r="D422" s="68" t="s">
        <v>1132</v>
      </c>
      <c r="E422" s="68" t="s">
        <v>38</v>
      </c>
      <c r="F422" s="69">
        <v>45763.556250000001</v>
      </c>
      <c r="G422" s="68">
        <v>1595</v>
      </c>
      <c r="H422" s="68" t="s">
        <v>24</v>
      </c>
      <c r="I422" s="79">
        <v>45763.556944444441</v>
      </c>
      <c r="J422" s="68">
        <v>1595</v>
      </c>
      <c r="K422" s="81" t="str">
        <f t="shared" si="15"/>
        <v>OUI</v>
      </c>
      <c r="L422" s="68" t="s">
        <v>16</v>
      </c>
      <c r="M422" s="71" t="s">
        <v>1133</v>
      </c>
      <c r="N422" s="38">
        <v>45763</v>
      </c>
      <c r="O422" s="16" t="str">
        <f t="shared" si="18"/>
        <v>OUI</v>
      </c>
    </row>
    <row r="423" spans="1:15" ht="15" customHeight="1" x14ac:dyDescent="0.3">
      <c r="A423" s="67" t="s">
        <v>34</v>
      </c>
      <c r="B423" s="91" t="s">
        <v>1134</v>
      </c>
      <c r="C423" s="68" t="s">
        <v>66</v>
      </c>
      <c r="D423" s="68" t="s">
        <v>1135</v>
      </c>
      <c r="E423" s="68" t="s">
        <v>38</v>
      </c>
      <c r="F423" s="69">
        <v>45764.570138888892</v>
      </c>
      <c r="G423" s="68">
        <v>1633</v>
      </c>
      <c r="H423" s="68" t="s">
        <v>24</v>
      </c>
      <c r="I423" s="70"/>
      <c r="J423" s="68">
        <v>1596</v>
      </c>
      <c r="K423" s="81" t="str">
        <f t="shared" si="15"/>
        <v/>
      </c>
      <c r="L423" s="68" t="s">
        <v>16</v>
      </c>
      <c r="M423" s="71"/>
      <c r="O423" s="16" t="str">
        <f t="shared" si="18"/>
        <v/>
      </c>
    </row>
    <row r="424" spans="1:15" ht="15" customHeight="1" x14ac:dyDescent="0.3">
      <c r="A424" s="67" t="s">
        <v>34</v>
      </c>
      <c r="B424" s="91" t="s">
        <v>1134</v>
      </c>
      <c r="C424" s="68" t="s">
        <v>66</v>
      </c>
      <c r="D424" s="68" t="s">
        <v>1136</v>
      </c>
      <c r="E424" s="68" t="s">
        <v>38</v>
      </c>
      <c r="F424" s="69">
        <v>45764.57916666667</v>
      </c>
      <c r="G424" s="68">
        <v>1636</v>
      </c>
      <c r="H424" s="68" t="s">
        <v>14</v>
      </c>
      <c r="I424" s="70"/>
      <c r="J424" s="68">
        <v>1598</v>
      </c>
      <c r="K424" s="81" t="str">
        <f t="shared" si="15"/>
        <v/>
      </c>
      <c r="L424" s="68" t="s">
        <v>16</v>
      </c>
      <c r="M424" s="71"/>
      <c r="O424" s="16" t="str">
        <f t="shared" si="18"/>
        <v/>
      </c>
    </row>
    <row r="425" spans="1:15" ht="15" customHeight="1" x14ac:dyDescent="0.3">
      <c r="A425" s="67" t="s">
        <v>34</v>
      </c>
      <c r="B425" s="10" t="s">
        <v>1137</v>
      </c>
      <c r="C425" s="1" t="s">
        <v>184</v>
      </c>
      <c r="D425" s="68" t="s">
        <v>1138</v>
      </c>
      <c r="E425" s="68" t="s">
        <v>38</v>
      </c>
      <c r="F425" s="69">
        <v>45765.61041666667</v>
      </c>
      <c r="G425" s="68">
        <v>1599</v>
      </c>
      <c r="H425" s="68" t="s">
        <v>24</v>
      </c>
      <c r="I425" s="79">
        <v>45765.613194444442</v>
      </c>
      <c r="J425" s="68">
        <v>1599</v>
      </c>
      <c r="K425" s="81" t="str">
        <f t="shared" si="15"/>
        <v>OUI</v>
      </c>
      <c r="L425" s="68" t="s">
        <v>16</v>
      </c>
      <c r="M425" s="71" t="s">
        <v>1139</v>
      </c>
      <c r="N425" s="38">
        <v>45765</v>
      </c>
      <c r="O425" s="16" t="str">
        <f t="shared" si="18"/>
        <v>OUI</v>
      </c>
    </row>
    <row r="426" spans="1:15" ht="15" customHeight="1" x14ac:dyDescent="0.3">
      <c r="A426" s="67" t="s">
        <v>17</v>
      </c>
      <c r="B426" s="91" t="s">
        <v>1140</v>
      </c>
      <c r="C426" s="68" t="s">
        <v>316</v>
      </c>
      <c r="D426" s="68" t="s">
        <v>1141</v>
      </c>
      <c r="E426" s="68" t="s">
        <v>19</v>
      </c>
      <c r="F426" s="69">
        <v>45768.349305555559</v>
      </c>
      <c r="G426" s="68">
        <v>1638</v>
      </c>
      <c r="H426" s="68" t="s">
        <v>14</v>
      </c>
      <c r="I426" s="70"/>
      <c r="J426" s="68">
        <v>1600</v>
      </c>
      <c r="K426" s="81" t="str">
        <f t="shared" si="15"/>
        <v/>
      </c>
      <c r="L426" s="68" t="s">
        <v>16</v>
      </c>
      <c r="M426" s="71"/>
      <c r="O426" s="16" t="str">
        <f t="shared" si="18"/>
        <v/>
      </c>
    </row>
    <row r="427" spans="1:15" ht="15" customHeight="1" x14ac:dyDescent="0.3">
      <c r="A427" s="72" t="s">
        <v>34</v>
      </c>
      <c r="B427" s="90" t="s">
        <v>1142</v>
      </c>
      <c r="C427" s="73" t="s">
        <v>106</v>
      </c>
      <c r="D427" s="73" t="s">
        <v>1143</v>
      </c>
      <c r="E427" s="73" t="s">
        <v>38</v>
      </c>
      <c r="F427" s="74">
        <v>45769.370138888888</v>
      </c>
      <c r="G427" s="73">
        <v>1640</v>
      </c>
      <c r="H427" s="73" t="s">
        <v>14</v>
      </c>
      <c r="I427" s="75"/>
      <c r="J427" s="73">
        <v>1601</v>
      </c>
      <c r="K427" s="81" t="str">
        <f t="shared" si="15"/>
        <v/>
      </c>
      <c r="L427" s="73" t="s">
        <v>16</v>
      </c>
      <c r="M427" s="76"/>
      <c r="O427" s="16" t="str">
        <f t="shared" si="18"/>
        <v/>
      </c>
    </row>
    <row r="428" spans="1:15" ht="15" customHeight="1" x14ac:dyDescent="0.3">
      <c r="A428" s="72" t="s">
        <v>32</v>
      </c>
      <c r="B428" s="90" t="s">
        <v>708</v>
      </c>
      <c r="C428" s="73" t="s">
        <v>709</v>
      </c>
      <c r="D428" s="73" t="s">
        <v>710</v>
      </c>
      <c r="E428" s="73" t="s">
        <v>33</v>
      </c>
      <c r="F428" s="74">
        <v>45769.43472222222</v>
      </c>
      <c r="G428" s="73">
        <v>1642</v>
      </c>
      <c r="H428" s="73" t="s">
        <v>14</v>
      </c>
      <c r="I428" s="80">
        <v>45854.358773148146</v>
      </c>
      <c r="J428" s="73">
        <v>1602</v>
      </c>
      <c r="K428" s="81" t="str">
        <f t="shared" si="15"/>
        <v>OUI</v>
      </c>
      <c r="L428" s="73" t="s">
        <v>16</v>
      </c>
      <c r="M428" s="76" t="s">
        <v>1144</v>
      </c>
      <c r="N428" s="38">
        <v>45846</v>
      </c>
      <c r="O428" s="16" t="str">
        <f t="shared" si="18"/>
        <v>OUI</v>
      </c>
    </row>
    <row r="429" spans="1:15" ht="15" customHeight="1" x14ac:dyDescent="0.3">
      <c r="A429" s="67" t="s">
        <v>34</v>
      </c>
      <c r="B429" s="91" t="s">
        <v>1145</v>
      </c>
      <c r="C429" s="68" t="s">
        <v>26</v>
      </c>
      <c r="D429" s="68" t="s">
        <v>1146</v>
      </c>
      <c r="E429" s="68" t="s">
        <v>38</v>
      </c>
      <c r="F429" s="69">
        <v>45770.884027777778</v>
      </c>
      <c r="G429" s="68">
        <v>1603</v>
      </c>
      <c r="H429" s="68" t="s">
        <v>24</v>
      </c>
      <c r="I429" s="79">
        <v>45770.893055555556</v>
      </c>
      <c r="J429" s="68">
        <v>1603</v>
      </c>
      <c r="K429" s="81" t="str">
        <f t="shared" si="15"/>
        <v>OUI</v>
      </c>
      <c r="L429" s="68" t="s">
        <v>16</v>
      </c>
      <c r="M429" s="71" t="s">
        <v>1147</v>
      </c>
      <c r="N429" s="38">
        <v>45770</v>
      </c>
      <c r="O429" s="16" t="str">
        <f t="shared" si="18"/>
        <v>OUI</v>
      </c>
    </row>
    <row r="430" spans="1:15" ht="14.4" x14ac:dyDescent="0.3">
      <c r="A430" s="72" t="s">
        <v>212</v>
      </c>
      <c r="B430" s="10" t="s">
        <v>1148</v>
      </c>
      <c r="C430" s="73" t="s">
        <v>26</v>
      </c>
      <c r="D430" s="73" t="s">
        <v>517</v>
      </c>
      <c r="E430" s="78" t="s">
        <v>27</v>
      </c>
      <c r="F430" s="74">
        <v>45779.513888888891</v>
      </c>
      <c r="G430" s="73">
        <v>1643</v>
      </c>
      <c r="H430" s="73" t="s">
        <v>24</v>
      </c>
      <c r="I430" s="75"/>
      <c r="J430" s="73">
        <v>1604</v>
      </c>
      <c r="K430" s="81" t="str">
        <f t="shared" si="15"/>
        <v/>
      </c>
      <c r="L430" s="73" t="s">
        <v>16</v>
      </c>
      <c r="M430" s="76"/>
      <c r="O430" s="16" t="str">
        <f t="shared" si="18"/>
        <v/>
      </c>
    </row>
    <row r="431" spans="1:15" ht="15" customHeight="1" x14ac:dyDescent="0.3">
      <c r="A431" s="72" t="s">
        <v>262</v>
      </c>
      <c r="B431" s="10" t="s">
        <v>1149</v>
      </c>
      <c r="C431" s="1" t="s">
        <v>106</v>
      </c>
      <c r="D431" t="s">
        <v>1150</v>
      </c>
      <c r="E431" s="73" t="s">
        <v>266</v>
      </c>
      <c r="F431" s="74">
        <v>45782.381249999999</v>
      </c>
      <c r="G431" s="73">
        <v>1645</v>
      </c>
      <c r="H431" s="73" t="s">
        <v>14</v>
      </c>
      <c r="I431" s="80">
        <v>46006.800358796296</v>
      </c>
      <c r="J431" s="73">
        <v>1605</v>
      </c>
      <c r="K431" s="81" t="str">
        <f t="shared" si="15"/>
        <v>OUI</v>
      </c>
      <c r="L431" s="73" t="s">
        <v>16</v>
      </c>
      <c r="M431" s="71" t="s">
        <v>1151</v>
      </c>
      <c r="N431" s="38">
        <v>45825</v>
      </c>
      <c r="O431" s="16" t="str">
        <f t="shared" si="18"/>
        <v>OUI</v>
      </c>
    </row>
    <row r="432" spans="1:15" ht="15" customHeight="1" x14ac:dyDescent="0.3">
      <c r="A432" s="72" t="s">
        <v>17</v>
      </c>
      <c r="B432" s="10" t="s">
        <v>1152</v>
      </c>
      <c r="C432" s="1" t="s">
        <v>301</v>
      </c>
      <c r="D432" t="s">
        <v>1153</v>
      </c>
      <c r="E432" s="73" t="s">
        <v>19</v>
      </c>
      <c r="F432" s="74">
        <v>45785.619444444441</v>
      </c>
      <c r="G432" s="73">
        <v>1647</v>
      </c>
      <c r="H432" s="73" t="s">
        <v>14</v>
      </c>
      <c r="I432" s="80">
        <v>45819.469837962963</v>
      </c>
      <c r="J432" s="73">
        <v>1606</v>
      </c>
      <c r="K432" s="81" t="str">
        <f t="shared" si="15"/>
        <v>OUI</v>
      </c>
      <c r="L432" s="73" t="s">
        <v>16</v>
      </c>
      <c r="M432" s="76" t="s">
        <v>1154</v>
      </c>
      <c r="N432" s="38"/>
      <c r="O432" s="16" t="str">
        <f t="shared" si="18"/>
        <v>OUI</v>
      </c>
    </row>
    <row r="433" spans="1:15" ht="15" customHeight="1" x14ac:dyDescent="0.3">
      <c r="A433" s="72" t="s">
        <v>17</v>
      </c>
      <c r="B433" s="10" t="s">
        <v>1155</v>
      </c>
      <c r="C433" s="1" t="s">
        <v>259</v>
      </c>
      <c r="D433" t="s">
        <v>1156</v>
      </c>
      <c r="E433" s="73" t="s">
        <v>19</v>
      </c>
      <c r="F433" s="74">
        <v>45790.943749999999</v>
      </c>
      <c r="G433" s="73">
        <v>1649</v>
      </c>
      <c r="H433" s="73" t="s">
        <v>14</v>
      </c>
      <c r="I433" s="75"/>
      <c r="J433" s="73">
        <v>1607</v>
      </c>
      <c r="K433" s="81" t="str">
        <f t="shared" si="15"/>
        <v/>
      </c>
      <c r="L433" s="73" t="s">
        <v>16</v>
      </c>
      <c r="M433" s="76"/>
      <c r="O433" s="16" t="str">
        <f t="shared" si="18"/>
        <v/>
      </c>
    </row>
    <row r="434" spans="1:15" ht="15" customHeight="1" x14ac:dyDescent="0.3">
      <c r="A434" s="67" t="s">
        <v>17</v>
      </c>
      <c r="B434" s="91" t="s">
        <v>1157</v>
      </c>
      <c r="C434" s="68" t="s">
        <v>527</v>
      </c>
      <c r="D434" s="68" t="s">
        <v>1158</v>
      </c>
      <c r="E434" s="68" t="s">
        <v>19</v>
      </c>
      <c r="F434" s="69">
        <v>45795.595833333333</v>
      </c>
      <c r="G434" s="68">
        <v>1651</v>
      </c>
      <c r="H434" s="68" t="s">
        <v>14</v>
      </c>
      <c r="I434" s="70"/>
      <c r="J434" s="68">
        <v>1608</v>
      </c>
      <c r="K434" s="81" t="str">
        <f t="shared" si="15"/>
        <v/>
      </c>
      <c r="L434" s="68" t="s">
        <v>16</v>
      </c>
      <c r="M434" s="71"/>
      <c r="O434" s="16" t="str">
        <f t="shared" si="18"/>
        <v/>
      </c>
    </row>
    <row r="435" spans="1:15" ht="15" customHeight="1" x14ac:dyDescent="0.3">
      <c r="A435" s="67" t="s">
        <v>34</v>
      </c>
      <c r="B435" s="91" t="s">
        <v>1159</v>
      </c>
      <c r="C435" s="68" t="s">
        <v>26</v>
      </c>
      <c r="D435" s="68" t="s">
        <v>1160</v>
      </c>
      <c r="E435" s="68" t="s">
        <v>38</v>
      </c>
      <c r="F435" s="69">
        <v>45796.743750000001</v>
      </c>
      <c r="G435" s="68">
        <v>1653</v>
      </c>
      <c r="H435" s="68" t="s">
        <v>14</v>
      </c>
      <c r="I435" s="79">
        <v>45839.692141203705</v>
      </c>
      <c r="J435" s="68">
        <v>1609</v>
      </c>
      <c r="K435" s="81" t="str">
        <f t="shared" si="15"/>
        <v>OUI</v>
      </c>
      <c r="L435" s="68" t="s">
        <v>16</v>
      </c>
      <c r="M435" s="71" t="s">
        <v>1161</v>
      </c>
      <c r="N435" s="86"/>
      <c r="O435" s="16" t="str">
        <f t="shared" si="18"/>
        <v>OUI</v>
      </c>
    </row>
    <row r="436" spans="1:15" ht="15" customHeight="1" x14ac:dyDescent="0.3">
      <c r="A436" s="67" t="s">
        <v>34</v>
      </c>
      <c r="B436" s="91" t="s">
        <v>174</v>
      </c>
      <c r="C436" s="68" t="s">
        <v>88</v>
      </c>
      <c r="D436" t="s">
        <v>1162</v>
      </c>
      <c r="E436" s="68" t="s">
        <v>38</v>
      </c>
      <c r="F436" s="69">
        <v>45797.025000000001</v>
      </c>
      <c r="G436" s="68">
        <v>1655</v>
      </c>
      <c r="H436" s="68" t="s">
        <v>14</v>
      </c>
      <c r="I436" s="70"/>
      <c r="J436" s="68">
        <v>1610</v>
      </c>
      <c r="K436" s="81" t="str">
        <f t="shared" si="15"/>
        <v/>
      </c>
      <c r="L436" s="68" t="s">
        <v>16</v>
      </c>
      <c r="M436" s="71"/>
      <c r="O436" s="16" t="str">
        <f t="shared" si="18"/>
        <v/>
      </c>
    </row>
    <row r="437" spans="1:15" ht="15" customHeight="1" x14ac:dyDescent="0.3">
      <c r="A437" s="67" t="s">
        <v>212</v>
      </c>
      <c r="B437" s="10" t="s">
        <v>1163</v>
      </c>
      <c r="C437" s="68" t="s">
        <v>670</v>
      </c>
      <c r="D437" s="68" t="s">
        <v>1164</v>
      </c>
      <c r="E437" s="68" t="s">
        <v>27</v>
      </c>
      <c r="F437" s="69">
        <v>45813.420138888891</v>
      </c>
      <c r="G437" s="68">
        <v>1659</v>
      </c>
      <c r="H437" s="68" t="s">
        <v>24</v>
      </c>
      <c r="I437" s="79">
        <v>45813.476388888892</v>
      </c>
      <c r="J437" s="68">
        <v>1615</v>
      </c>
      <c r="K437" s="81" t="str">
        <f t="shared" ref="K437:K500" si="19">IF(AND(NOT(ISBLANK(I437)), NOT(ISBLANK(M437))), "OUI", "")</f>
        <v>OUI</v>
      </c>
      <c r="L437" s="68" t="s">
        <v>16</v>
      </c>
      <c r="M437" s="71" t="s">
        <v>1165</v>
      </c>
      <c r="N437" s="38">
        <v>45813</v>
      </c>
      <c r="O437" s="16" t="str">
        <f t="shared" si="18"/>
        <v>OUI</v>
      </c>
    </row>
    <row r="438" spans="1:15" ht="15" customHeight="1" x14ac:dyDescent="0.3">
      <c r="A438" s="67" t="s">
        <v>17</v>
      </c>
      <c r="B438" s="91" t="s">
        <v>1166</v>
      </c>
      <c r="C438" s="68" t="s">
        <v>144</v>
      </c>
      <c r="D438" s="68" t="s">
        <v>1167</v>
      </c>
      <c r="E438" s="68" t="s">
        <v>19</v>
      </c>
      <c r="F438" s="69">
        <v>45817.868750000001</v>
      </c>
      <c r="G438" s="68">
        <v>1663</v>
      </c>
      <c r="H438" s="68" t="s">
        <v>14</v>
      </c>
      <c r="I438" s="79">
        <v>45911.551701388889</v>
      </c>
      <c r="J438" s="68">
        <v>1618</v>
      </c>
      <c r="K438" s="81" t="str">
        <f t="shared" si="19"/>
        <v>OUI</v>
      </c>
      <c r="L438" s="68" t="s">
        <v>16</v>
      </c>
      <c r="M438" s="71" t="s">
        <v>1168</v>
      </c>
      <c r="N438" s="38">
        <v>45897</v>
      </c>
      <c r="O438" s="16" t="str">
        <f t="shared" si="18"/>
        <v>OUI</v>
      </c>
    </row>
    <row r="439" spans="1:15" ht="15" customHeight="1" x14ac:dyDescent="0.3">
      <c r="A439" s="67" t="s">
        <v>34</v>
      </c>
      <c r="B439" s="10" t="s">
        <v>1169</v>
      </c>
      <c r="C439" s="1" t="s">
        <v>36</v>
      </c>
      <c r="D439" s="68" t="s">
        <v>1170</v>
      </c>
      <c r="E439" s="68" t="s">
        <v>38</v>
      </c>
      <c r="F439" s="69">
        <v>45820.224999999999</v>
      </c>
      <c r="G439" s="68">
        <v>1665</v>
      </c>
      <c r="H439" s="68" t="s">
        <v>14</v>
      </c>
      <c r="I439" s="79">
        <v>45894.563680555555</v>
      </c>
      <c r="J439" s="68">
        <v>1619</v>
      </c>
      <c r="K439" s="81" t="str">
        <f t="shared" si="19"/>
        <v>OUI</v>
      </c>
      <c r="L439" s="68" t="s">
        <v>16</v>
      </c>
      <c r="M439" s="71" t="s">
        <v>1171</v>
      </c>
      <c r="N439" s="38">
        <v>45820</v>
      </c>
      <c r="O439" s="16" t="str">
        <f t="shared" si="18"/>
        <v>OUI</v>
      </c>
    </row>
    <row r="440" spans="1:15" ht="15" customHeight="1" x14ac:dyDescent="0.3">
      <c r="A440" s="67" t="s">
        <v>17</v>
      </c>
      <c r="B440" s="91" t="s">
        <v>1172</v>
      </c>
      <c r="C440" s="68" t="s">
        <v>93</v>
      </c>
      <c r="D440" s="68" t="s">
        <v>1173</v>
      </c>
      <c r="E440" s="68" t="s">
        <v>19</v>
      </c>
      <c r="F440" s="69">
        <v>45820.740972222222</v>
      </c>
      <c r="G440" s="68">
        <v>1667</v>
      </c>
      <c r="H440" s="68" t="s">
        <v>14</v>
      </c>
      <c r="I440" s="70"/>
      <c r="J440" s="68">
        <v>1620</v>
      </c>
      <c r="K440" s="81" t="str">
        <f t="shared" si="19"/>
        <v/>
      </c>
      <c r="L440" s="68" t="s">
        <v>16</v>
      </c>
      <c r="M440" s="71"/>
      <c r="O440" s="16" t="str">
        <f t="shared" si="18"/>
        <v/>
      </c>
    </row>
    <row r="441" spans="1:15" ht="15" customHeight="1" x14ac:dyDescent="0.3">
      <c r="A441" s="67" t="s">
        <v>34</v>
      </c>
      <c r="B441" s="10" t="s">
        <v>1174</v>
      </c>
      <c r="C441" s="68" t="s">
        <v>63</v>
      </c>
      <c r="D441" s="68" t="s">
        <v>1175</v>
      </c>
      <c r="E441" s="68" t="s">
        <v>38</v>
      </c>
      <c r="F441" s="69">
        <v>45821.053472222222</v>
      </c>
      <c r="G441" s="68">
        <v>1669</v>
      </c>
      <c r="H441" s="68" t="s">
        <v>14</v>
      </c>
      <c r="I441" s="70"/>
      <c r="J441" s="68">
        <v>1621</v>
      </c>
      <c r="K441" s="81" t="str">
        <f t="shared" si="19"/>
        <v/>
      </c>
      <c r="L441" s="68" t="s">
        <v>16</v>
      </c>
      <c r="M441" s="71"/>
      <c r="O441" s="16" t="str">
        <f t="shared" si="18"/>
        <v/>
      </c>
    </row>
    <row r="442" spans="1:15" ht="15" customHeight="1" x14ac:dyDescent="0.3">
      <c r="A442" s="67" t="s">
        <v>17</v>
      </c>
      <c r="B442" s="10" t="s">
        <v>1176</v>
      </c>
      <c r="C442" s="68" t="s">
        <v>47</v>
      </c>
      <c r="D442" s="68" t="s">
        <v>1177</v>
      </c>
      <c r="E442" s="68" t="s">
        <v>19</v>
      </c>
      <c r="F442" s="69">
        <v>45822.946527777778</v>
      </c>
      <c r="G442" s="68">
        <v>1671</v>
      </c>
      <c r="H442" s="68" t="s">
        <v>14</v>
      </c>
      <c r="I442" s="70"/>
      <c r="J442" s="68">
        <v>1622</v>
      </c>
      <c r="K442" s="81" t="str">
        <f t="shared" si="19"/>
        <v/>
      </c>
      <c r="L442" s="68" t="s">
        <v>16</v>
      </c>
      <c r="M442" s="71"/>
      <c r="O442" s="16" t="str">
        <f t="shared" si="18"/>
        <v/>
      </c>
    </row>
    <row r="443" spans="1:15" ht="15" customHeight="1" x14ac:dyDescent="0.3">
      <c r="A443" s="67" t="s">
        <v>17</v>
      </c>
      <c r="B443" s="91" t="s">
        <v>666</v>
      </c>
      <c r="C443" s="68" t="s">
        <v>47</v>
      </c>
      <c r="D443" s="68" t="s">
        <v>1178</v>
      </c>
      <c r="E443" s="68" t="s">
        <v>19</v>
      </c>
      <c r="F443" s="69">
        <v>45822.970833333333</v>
      </c>
      <c r="G443" s="68">
        <v>1673</v>
      </c>
      <c r="H443" s="68" t="s">
        <v>14</v>
      </c>
      <c r="I443" s="70"/>
      <c r="J443" s="68">
        <v>1623</v>
      </c>
      <c r="K443" s="81" t="str">
        <f t="shared" si="19"/>
        <v/>
      </c>
      <c r="L443" s="68" t="s">
        <v>16</v>
      </c>
      <c r="M443" s="71"/>
      <c r="O443" s="16" t="str">
        <f t="shared" si="18"/>
        <v/>
      </c>
    </row>
    <row r="444" spans="1:15" ht="15" customHeight="1" x14ac:dyDescent="0.3">
      <c r="A444" s="67" t="s">
        <v>34</v>
      </c>
      <c r="B444" s="10" t="s">
        <v>1179</v>
      </c>
      <c r="C444" s="68" t="s">
        <v>66</v>
      </c>
      <c r="D444" t="s">
        <v>311</v>
      </c>
      <c r="E444" s="68" t="s">
        <v>38</v>
      </c>
      <c r="F444" s="69">
        <v>45823.646527777775</v>
      </c>
      <c r="G444" s="68">
        <v>1675</v>
      </c>
      <c r="H444" s="68" t="s">
        <v>14</v>
      </c>
      <c r="I444" s="79">
        <v>45994.709282407406</v>
      </c>
      <c r="J444" s="68">
        <v>1624</v>
      </c>
      <c r="K444" s="81" t="str">
        <f t="shared" si="19"/>
        <v>OUI</v>
      </c>
      <c r="L444" s="68" t="s">
        <v>16</v>
      </c>
      <c r="M444" s="71" t="s">
        <v>1180</v>
      </c>
      <c r="O444" s="16" t="str">
        <f t="shared" si="18"/>
        <v>OUI</v>
      </c>
    </row>
    <row r="445" spans="1:15" ht="15" customHeight="1" x14ac:dyDescent="0.3">
      <c r="A445" s="67" t="s">
        <v>17</v>
      </c>
      <c r="B445" s="91" t="s">
        <v>1181</v>
      </c>
      <c r="C445" s="68" t="s">
        <v>66</v>
      </c>
      <c r="D445" s="68" t="s">
        <v>1182</v>
      </c>
      <c r="E445" s="68" t="s">
        <v>19</v>
      </c>
      <c r="F445" s="69">
        <v>45823.902777777781</v>
      </c>
      <c r="G445" s="68">
        <v>1677</v>
      </c>
      <c r="H445" s="68" t="s">
        <v>14</v>
      </c>
      <c r="I445" s="79">
        <v>45894.561249999999</v>
      </c>
      <c r="J445" s="68">
        <v>1625</v>
      </c>
      <c r="K445" s="81" t="str">
        <f t="shared" si="19"/>
        <v>OUI</v>
      </c>
      <c r="L445" s="68" t="s">
        <v>16</v>
      </c>
      <c r="M445" s="71" t="s">
        <v>1183</v>
      </c>
      <c r="N445" s="38">
        <v>45823</v>
      </c>
      <c r="O445" s="16" t="str">
        <f t="shared" si="18"/>
        <v>OUI</v>
      </c>
    </row>
    <row r="446" spans="1:15" ht="15" customHeight="1" x14ac:dyDescent="0.3">
      <c r="A446" s="72" t="s">
        <v>209</v>
      </c>
      <c r="B446" s="90" t="s">
        <v>1184</v>
      </c>
      <c r="C446" s="73" t="s">
        <v>394</v>
      </c>
      <c r="D446" t="s">
        <v>1185</v>
      </c>
      <c r="E446" s="73" t="s">
        <v>57</v>
      </c>
      <c r="F446" s="74">
        <v>45824.28402777778</v>
      </c>
      <c r="G446" s="73">
        <v>1679</v>
      </c>
      <c r="H446" s="73" t="s">
        <v>14</v>
      </c>
      <c r="I446" s="80">
        <v>45824.367361111108</v>
      </c>
      <c r="J446" s="73">
        <v>1626</v>
      </c>
      <c r="K446" s="81" t="str">
        <f t="shared" si="19"/>
        <v>OUI</v>
      </c>
      <c r="L446" s="73" t="s">
        <v>16</v>
      </c>
      <c r="M446" s="76" t="s">
        <v>1186</v>
      </c>
      <c r="N446" s="38">
        <v>45825</v>
      </c>
      <c r="O446" s="16" t="str">
        <f t="shared" si="18"/>
        <v>OUI</v>
      </c>
    </row>
    <row r="447" spans="1:15" ht="15" customHeight="1" x14ac:dyDescent="0.3">
      <c r="A447" s="67" t="s">
        <v>34</v>
      </c>
      <c r="B447" s="10" t="s">
        <v>1187</v>
      </c>
      <c r="C447" s="68" t="s">
        <v>376</v>
      </c>
      <c r="D447" s="68" t="s">
        <v>1188</v>
      </c>
      <c r="E447" s="68" t="s">
        <v>38</v>
      </c>
      <c r="F447" s="69">
        <v>45824.799305555556</v>
      </c>
      <c r="G447" s="68">
        <v>1681</v>
      </c>
      <c r="H447" s="68" t="s">
        <v>14</v>
      </c>
      <c r="I447" s="70"/>
      <c r="J447" s="68">
        <v>1627</v>
      </c>
      <c r="K447" s="81" t="str">
        <f t="shared" si="19"/>
        <v/>
      </c>
      <c r="L447" s="68" t="s">
        <v>16</v>
      </c>
      <c r="M447" s="71"/>
      <c r="O447" s="16" t="str">
        <f t="shared" si="18"/>
        <v/>
      </c>
    </row>
    <row r="448" spans="1:15" ht="15" customHeight="1" x14ac:dyDescent="0.3">
      <c r="A448" s="72" t="s">
        <v>10</v>
      </c>
      <c r="B448" s="90" t="s">
        <v>1189</v>
      </c>
      <c r="C448" s="73" t="s">
        <v>106</v>
      </c>
      <c r="D448" t="s">
        <v>1190</v>
      </c>
      <c r="E448" s="73" t="s">
        <v>13</v>
      </c>
      <c r="F448" s="74">
        <v>45826.27847222222</v>
      </c>
      <c r="G448" s="73">
        <v>1683</v>
      </c>
      <c r="H448" s="73" t="s">
        <v>14</v>
      </c>
      <c r="I448" s="80">
        <v>45826.588888888888</v>
      </c>
      <c r="J448" s="73">
        <v>1628</v>
      </c>
      <c r="K448" s="81" t="str">
        <f t="shared" si="19"/>
        <v>OUI</v>
      </c>
      <c r="L448" s="73" t="s">
        <v>16</v>
      </c>
      <c r="M448" s="76" t="s">
        <v>1191</v>
      </c>
      <c r="O448" s="16" t="str">
        <f t="shared" si="18"/>
        <v>OUI</v>
      </c>
    </row>
    <row r="449" spans="1:15" ht="15" customHeight="1" x14ac:dyDescent="0.3">
      <c r="A449" s="67" t="s">
        <v>34</v>
      </c>
      <c r="B449" s="10" t="s">
        <v>1192</v>
      </c>
      <c r="C449" s="1" t="s">
        <v>398</v>
      </c>
      <c r="D449" s="68" t="s">
        <v>1193</v>
      </c>
      <c r="E449" s="68" t="s">
        <v>38</v>
      </c>
      <c r="F449" s="69">
        <v>45826.581944444442</v>
      </c>
      <c r="G449" s="68">
        <v>1685</v>
      </c>
      <c r="H449" s="68" t="s">
        <v>14</v>
      </c>
      <c r="I449" s="79">
        <v>45826.584722222222</v>
      </c>
      <c r="J449" s="68">
        <v>1629</v>
      </c>
      <c r="K449" s="81" t="str">
        <f t="shared" si="19"/>
        <v>OUI</v>
      </c>
      <c r="L449" s="68" t="s">
        <v>16</v>
      </c>
      <c r="M449" s="71" t="s">
        <v>1194</v>
      </c>
      <c r="N449" s="38">
        <v>45838</v>
      </c>
      <c r="O449" s="16" t="str">
        <f t="shared" si="18"/>
        <v>OUI</v>
      </c>
    </row>
    <row r="450" spans="1:15" ht="15" customHeight="1" x14ac:dyDescent="0.3">
      <c r="A450" s="72" t="s">
        <v>17</v>
      </c>
      <c r="B450" s="90" t="s">
        <v>1195</v>
      </c>
      <c r="C450" s="73" t="s">
        <v>376</v>
      </c>
      <c r="D450" s="73" t="s">
        <v>1196</v>
      </c>
      <c r="E450" s="73" t="s">
        <v>19</v>
      </c>
      <c r="F450" s="74">
        <v>45832.525000000001</v>
      </c>
      <c r="G450" s="73">
        <v>1687</v>
      </c>
      <c r="H450" s="73" t="s">
        <v>14</v>
      </c>
      <c r="I450" s="80">
        <v>45931.573750000003</v>
      </c>
      <c r="J450" s="73">
        <v>1630</v>
      </c>
      <c r="K450" s="81" t="str">
        <f t="shared" si="19"/>
        <v>OUI</v>
      </c>
      <c r="L450" s="73" t="s">
        <v>16</v>
      </c>
      <c r="M450" s="76" t="s">
        <v>1197</v>
      </c>
      <c r="N450" s="38">
        <v>45910</v>
      </c>
      <c r="O450" s="16" t="str">
        <f t="shared" si="18"/>
        <v>OUI</v>
      </c>
    </row>
    <row r="451" spans="1:15" ht="15" customHeight="1" x14ac:dyDescent="0.3">
      <c r="A451" s="67" t="s">
        <v>34</v>
      </c>
      <c r="B451" s="10" t="s">
        <v>1198</v>
      </c>
      <c r="C451" s="1" t="s">
        <v>1199</v>
      </c>
      <c r="D451" s="68" t="s">
        <v>1200</v>
      </c>
      <c r="E451" s="68" t="s">
        <v>38</v>
      </c>
      <c r="F451" s="69">
        <v>45832.537499999999</v>
      </c>
      <c r="G451" s="68">
        <v>1689</v>
      </c>
      <c r="H451" s="68" t="s">
        <v>14</v>
      </c>
      <c r="I451" s="70"/>
      <c r="J451" s="68">
        <v>1631</v>
      </c>
      <c r="K451" s="81" t="str">
        <f t="shared" si="19"/>
        <v/>
      </c>
      <c r="L451" s="68" t="s">
        <v>16</v>
      </c>
      <c r="M451" s="71"/>
      <c r="O451" s="16" t="str">
        <f t="shared" si="18"/>
        <v/>
      </c>
    </row>
    <row r="452" spans="1:15" ht="15" customHeight="1" x14ac:dyDescent="0.3">
      <c r="A452" s="67" t="s">
        <v>99</v>
      </c>
      <c r="B452" s="91" t="s">
        <v>1201</v>
      </c>
      <c r="C452" s="68" t="s">
        <v>172</v>
      </c>
      <c r="D452" s="68" t="s">
        <v>1202</v>
      </c>
      <c r="E452" s="68" t="s">
        <v>13</v>
      </c>
      <c r="F452" s="69">
        <v>45833.819444444445</v>
      </c>
      <c r="G452" s="68">
        <v>1691</v>
      </c>
      <c r="H452" s="68" t="s">
        <v>14</v>
      </c>
      <c r="I452" s="79">
        <v>45838.492395833331</v>
      </c>
      <c r="J452" s="68">
        <v>1632</v>
      </c>
      <c r="K452" s="81" t="str">
        <f t="shared" si="19"/>
        <v>OUI</v>
      </c>
      <c r="L452" s="68" t="s">
        <v>16</v>
      </c>
      <c r="M452" s="71" t="s">
        <v>1203</v>
      </c>
      <c r="N452" s="38">
        <v>45838</v>
      </c>
      <c r="O452" s="16" t="str">
        <f t="shared" si="18"/>
        <v>OUI</v>
      </c>
    </row>
    <row r="453" spans="1:15" ht="15" customHeight="1" x14ac:dyDescent="0.3">
      <c r="A453" s="72" t="s">
        <v>34</v>
      </c>
      <c r="B453" s="90" t="s">
        <v>1204</v>
      </c>
      <c r="C453" s="73" t="s">
        <v>66</v>
      </c>
      <c r="D453" s="73" t="s">
        <v>1205</v>
      </c>
      <c r="E453" s="73" t="s">
        <v>38</v>
      </c>
      <c r="F453" s="74">
        <v>45833.87777777778</v>
      </c>
      <c r="G453" s="73">
        <v>1693</v>
      </c>
      <c r="H453" s="73" t="s">
        <v>14</v>
      </c>
      <c r="I453" s="80">
        <v>45835.421736111108</v>
      </c>
      <c r="J453" s="73">
        <v>1633</v>
      </c>
      <c r="K453" s="81" t="str">
        <f t="shared" si="19"/>
        <v>OUI</v>
      </c>
      <c r="L453" s="73" t="s">
        <v>16</v>
      </c>
      <c r="M453" s="76" t="s">
        <v>1206</v>
      </c>
      <c r="N453" s="38">
        <v>45838</v>
      </c>
      <c r="O453" s="16" t="str">
        <f t="shared" si="18"/>
        <v>OUI</v>
      </c>
    </row>
    <row r="454" spans="1:15" ht="15" customHeight="1" x14ac:dyDescent="0.3">
      <c r="A454" s="72" t="s">
        <v>34</v>
      </c>
      <c r="B454" s="90" t="s">
        <v>1207</v>
      </c>
      <c r="C454" s="73" t="s">
        <v>709</v>
      </c>
      <c r="D454" s="73" t="s">
        <v>1208</v>
      </c>
      <c r="E454" s="73" t="s">
        <v>38</v>
      </c>
      <c r="F454" s="74">
        <v>45834.834722222222</v>
      </c>
      <c r="G454" s="73">
        <v>1695</v>
      </c>
      <c r="H454" s="73" t="s">
        <v>14</v>
      </c>
      <c r="I454" s="80">
        <v>45835.45921296296</v>
      </c>
      <c r="J454" s="73">
        <v>1634</v>
      </c>
      <c r="K454" s="81" t="str">
        <f t="shared" si="19"/>
        <v>OUI</v>
      </c>
      <c r="L454" s="73" t="s">
        <v>16</v>
      </c>
      <c r="M454" s="76" t="s">
        <v>1209</v>
      </c>
      <c r="N454" s="38">
        <v>45838</v>
      </c>
      <c r="O454" s="16" t="str">
        <f t="shared" si="18"/>
        <v>OUI</v>
      </c>
    </row>
    <row r="455" spans="1:15" ht="15" customHeight="1" x14ac:dyDescent="0.3">
      <c r="A455" s="67" t="s">
        <v>34</v>
      </c>
      <c r="B455" s="10" t="s">
        <v>1210</v>
      </c>
      <c r="C455" s="1" t="s">
        <v>361</v>
      </c>
      <c r="D455" s="68" t="s">
        <v>1211</v>
      </c>
      <c r="E455" s="68" t="s">
        <v>38</v>
      </c>
      <c r="F455" s="69">
        <v>45838.581944444442</v>
      </c>
      <c r="G455" s="68">
        <v>1697</v>
      </c>
      <c r="H455" s="68" t="s">
        <v>14</v>
      </c>
      <c r="I455" s="70"/>
      <c r="J455" s="68">
        <v>1635</v>
      </c>
      <c r="K455" s="81" t="str">
        <f t="shared" si="19"/>
        <v/>
      </c>
      <c r="L455" s="68" t="s">
        <v>16</v>
      </c>
      <c r="M455" s="71"/>
      <c r="O455" s="16" t="str">
        <f t="shared" si="18"/>
        <v/>
      </c>
    </row>
    <row r="456" spans="1:15" ht="15" customHeight="1" x14ac:dyDescent="0.3">
      <c r="A456" s="72" t="s">
        <v>17</v>
      </c>
      <c r="B456" s="90" t="s">
        <v>1212</v>
      </c>
      <c r="C456" s="73" t="s">
        <v>93</v>
      </c>
      <c r="D456" s="73" t="s">
        <v>1213</v>
      </c>
      <c r="E456" s="73" t="s">
        <v>19</v>
      </c>
      <c r="F456" s="74">
        <v>45840.974305555559</v>
      </c>
      <c r="G456" s="73">
        <v>1699</v>
      </c>
      <c r="H456" s="73" t="s">
        <v>14</v>
      </c>
      <c r="I456" s="75"/>
      <c r="J456" s="73">
        <v>1636</v>
      </c>
      <c r="K456" s="81" t="str">
        <f t="shared" si="19"/>
        <v/>
      </c>
      <c r="L456" s="73" t="s">
        <v>16</v>
      </c>
      <c r="M456" s="76"/>
      <c r="O456" s="16" t="str">
        <f t="shared" si="18"/>
        <v/>
      </c>
    </row>
    <row r="457" spans="1:15" ht="15" customHeight="1" x14ac:dyDescent="0.3">
      <c r="A457" s="67" t="s">
        <v>34</v>
      </c>
      <c r="B457" s="91" t="s">
        <v>1214</v>
      </c>
      <c r="C457" s="68" t="s">
        <v>63</v>
      </c>
      <c r="D457" s="68" t="s">
        <v>1215</v>
      </c>
      <c r="E457" s="68" t="s">
        <v>38</v>
      </c>
      <c r="F457" s="69">
        <v>45842.520833333336</v>
      </c>
      <c r="G457" s="68">
        <v>1701</v>
      </c>
      <c r="H457" s="68" t="s">
        <v>14</v>
      </c>
      <c r="I457" s="79">
        <v>45911.642164351855</v>
      </c>
      <c r="J457" s="68">
        <v>1637</v>
      </c>
      <c r="K457" s="81" t="str">
        <f t="shared" si="19"/>
        <v>OUI</v>
      </c>
      <c r="L457" s="68" t="s">
        <v>16</v>
      </c>
      <c r="M457" s="71" t="s">
        <v>1216</v>
      </c>
      <c r="N457" s="38">
        <v>45905</v>
      </c>
      <c r="O457" s="16" t="str">
        <f t="shared" si="18"/>
        <v>OUI</v>
      </c>
    </row>
    <row r="458" spans="1:15" ht="15" customHeight="1" x14ac:dyDescent="0.3">
      <c r="A458" s="67" t="s">
        <v>20</v>
      </c>
      <c r="B458" s="91" t="s">
        <v>1217</v>
      </c>
      <c r="C458" s="68" t="s">
        <v>66</v>
      </c>
      <c r="D458" s="68" t="s">
        <v>1218</v>
      </c>
      <c r="E458" s="68" t="s">
        <v>23</v>
      </c>
      <c r="F458" s="69">
        <v>45845.656944444447</v>
      </c>
      <c r="G458" s="68">
        <v>1703</v>
      </c>
      <c r="H458" s="68" t="s">
        <v>14</v>
      </c>
      <c r="I458" s="70"/>
      <c r="J458" s="68">
        <v>1638</v>
      </c>
      <c r="K458" s="81" t="str">
        <f t="shared" si="19"/>
        <v/>
      </c>
      <c r="L458" s="68" t="s">
        <v>16</v>
      </c>
      <c r="M458" s="71"/>
      <c r="O458" s="16" t="str">
        <f t="shared" si="18"/>
        <v/>
      </c>
    </row>
    <row r="459" spans="1:15" ht="15" customHeight="1" x14ac:dyDescent="0.3">
      <c r="A459" s="72" t="s">
        <v>34</v>
      </c>
      <c r="B459" s="90" t="s">
        <v>1219</v>
      </c>
      <c r="C459" s="1" t="s">
        <v>66</v>
      </c>
      <c r="D459" s="73" t="s">
        <v>1220</v>
      </c>
      <c r="E459" s="73" t="s">
        <v>38</v>
      </c>
      <c r="F459" s="74">
        <v>45846.723611111112</v>
      </c>
      <c r="G459" s="73">
        <v>1707</v>
      </c>
      <c r="H459" s="73" t="s">
        <v>14</v>
      </c>
      <c r="I459" s="80">
        <v>45846.734722222223</v>
      </c>
      <c r="J459" s="73">
        <v>1640</v>
      </c>
      <c r="K459" s="81" t="str">
        <f t="shared" si="19"/>
        <v>OUI</v>
      </c>
      <c r="L459" s="73" t="s">
        <v>16</v>
      </c>
      <c r="M459" s="76" t="s">
        <v>1221</v>
      </c>
      <c r="N459" s="38">
        <v>45957</v>
      </c>
      <c r="O459" s="16" t="str">
        <f t="shared" si="18"/>
        <v>OUI</v>
      </c>
    </row>
    <row r="460" spans="1:15" ht="15" customHeight="1" x14ac:dyDescent="0.3">
      <c r="A460" s="72" t="s">
        <v>17</v>
      </c>
      <c r="B460" s="90" t="s">
        <v>1222</v>
      </c>
      <c r="C460" s="73" t="s">
        <v>88</v>
      </c>
      <c r="D460" s="73" t="s">
        <v>1223</v>
      </c>
      <c r="E460" s="73" t="s">
        <v>19</v>
      </c>
      <c r="F460" s="74">
        <v>45846.998611111114</v>
      </c>
      <c r="G460" s="73">
        <v>1709</v>
      </c>
      <c r="H460" s="73" t="s">
        <v>14</v>
      </c>
      <c r="I460" s="80">
        <v>45848.61178240741</v>
      </c>
      <c r="J460" s="73">
        <v>1641</v>
      </c>
      <c r="K460" s="81" t="str">
        <f t="shared" si="19"/>
        <v>OUI</v>
      </c>
      <c r="L460" s="73" t="s">
        <v>16</v>
      </c>
      <c r="M460" s="76" t="s">
        <v>1224</v>
      </c>
      <c r="N460" s="38">
        <v>45957</v>
      </c>
      <c r="O460" s="16" t="str">
        <f t="shared" ref="O460:O523" si="20">IF(AND(ISBLANK(I460), ISBLANK(N460)), "", "OUI")</f>
        <v>OUI</v>
      </c>
    </row>
    <row r="461" spans="1:15" ht="15" customHeight="1" x14ac:dyDescent="0.3">
      <c r="A461" s="72" t="s">
        <v>34</v>
      </c>
      <c r="B461" s="10" t="s">
        <v>1225</v>
      </c>
      <c r="C461" s="1" t="s">
        <v>47</v>
      </c>
      <c r="D461" s="73" t="s">
        <v>1226</v>
      </c>
      <c r="E461" s="73" t="s">
        <v>38</v>
      </c>
      <c r="F461" s="74">
        <v>45847.719444444447</v>
      </c>
      <c r="G461" s="73">
        <v>1710</v>
      </c>
      <c r="H461" s="73" t="s">
        <v>24</v>
      </c>
      <c r="I461" s="75"/>
      <c r="J461" s="73">
        <v>1642</v>
      </c>
      <c r="K461" s="81" t="str">
        <f t="shared" si="19"/>
        <v/>
      </c>
      <c r="L461" s="73" t="s">
        <v>16</v>
      </c>
      <c r="M461" s="76"/>
      <c r="O461" s="16" t="str">
        <f t="shared" si="20"/>
        <v/>
      </c>
    </row>
    <row r="462" spans="1:15" ht="15" customHeight="1" x14ac:dyDescent="0.3">
      <c r="A462" s="72" t="s">
        <v>17</v>
      </c>
      <c r="B462" s="90" t="s">
        <v>1227</v>
      </c>
      <c r="C462" s="73" t="s">
        <v>36</v>
      </c>
      <c r="D462" s="73" t="s">
        <v>1228</v>
      </c>
      <c r="E462" s="73" t="s">
        <v>19</v>
      </c>
      <c r="F462" s="74">
        <v>45850.031944444447</v>
      </c>
      <c r="G462" s="73">
        <v>1712</v>
      </c>
      <c r="H462" s="73" t="s">
        <v>14</v>
      </c>
      <c r="I462" s="75"/>
      <c r="J462" s="73">
        <v>1643</v>
      </c>
      <c r="K462" s="81" t="str">
        <f t="shared" si="19"/>
        <v/>
      </c>
      <c r="L462" s="73" t="s">
        <v>16</v>
      </c>
      <c r="M462" s="76"/>
      <c r="O462" s="16" t="str">
        <f t="shared" si="20"/>
        <v/>
      </c>
    </row>
    <row r="463" spans="1:15" ht="15" customHeight="1" x14ac:dyDescent="0.3">
      <c r="A463" s="67" t="s">
        <v>34</v>
      </c>
      <c r="B463" s="91" t="s">
        <v>1217</v>
      </c>
      <c r="C463" s="68" t="s">
        <v>66</v>
      </c>
      <c r="D463" s="68" t="s">
        <v>1229</v>
      </c>
      <c r="E463" s="68" t="s">
        <v>38</v>
      </c>
      <c r="F463" s="69">
        <v>45854.481944444444</v>
      </c>
      <c r="G463" s="68">
        <v>1714</v>
      </c>
      <c r="H463" s="68" t="s">
        <v>14</v>
      </c>
      <c r="I463" s="79">
        <v>45953.45784722222</v>
      </c>
      <c r="J463" s="68">
        <v>1644</v>
      </c>
      <c r="K463" s="81" t="str">
        <f t="shared" si="19"/>
        <v>OUI</v>
      </c>
      <c r="L463" s="68" t="s">
        <v>16</v>
      </c>
      <c r="M463" s="71" t="s">
        <v>1230</v>
      </c>
      <c r="N463" s="38">
        <v>45945</v>
      </c>
      <c r="O463" s="16" t="str">
        <f t="shared" si="20"/>
        <v>OUI</v>
      </c>
    </row>
    <row r="464" spans="1:15" ht="15" customHeight="1" x14ac:dyDescent="0.3">
      <c r="A464" s="72" t="s">
        <v>34</v>
      </c>
      <c r="B464" s="10" t="s">
        <v>1231</v>
      </c>
      <c r="C464" s="73" t="s">
        <v>36</v>
      </c>
      <c r="D464" s="73" t="s">
        <v>1232</v>
      </c>
      <c r="E464" s="73" t="s">
        <v>38</v>
      </c>
      <c r="F464" s="74">
        <v>45854.535416666666</v>
      </c>
      <c r="G464" s="73">
        <v>1716</v>
      </c>
      <c r="H464" s="73" t="s">
        <v>14</v>
      </c>
      <c r="I464" s="75"/>
      <c r="J464" s="73">
        <v>1645</v>
      </c>
      <c r="K464" s="81" t="str">
        <f t="shared" si="19"/>
        <v/>
      </c>
      <c r="L464" s="73" t="s">
        <v>16</v>
      </c>
      <c r="M464" s="76"/>
      <c r="O464" s="16" t="str">
        <f t="shared" si="20"/>
        <v/>
      </c>
    </row>
    <row r="465" spans="1:15" ht="15" customHeight="1" x14ac:dyDescent="0.3">
      <c r="A465" s="67" t="s">
        <v>262</v>
      </c>
      <c r="B465" s="10" t="s">
        <v>1233</v>
      </c>
      <c r="C465" s="68" t="s">
        <v>109</v>
      </c>
      <c r="D465" s="68" t="s">
        <v>1234</v>
      </c>
      <c r="E465" s="68" t="s">
        <v>266</v>
      </c>
      <c r="F465" s="69">
        <v>45854.536805555559</v>
      </c>
      <c r="G465" s="68">
        <v>1718</v>
      </c>
      <c r="H465" s="68" t="s">
        <v>14</v>
      </c>
      <c r="I465" s="79">
        <v>45894.53701388889</v>
      </c>
      <c r="J465" s="68">
        <v>1646</v>
      </c>
      <c r="K465" s="81" t="str">
        <f t="shared" si="19"/>
        <v>OUI</v>
      </c>
      <c r="L465" s="68" t="s">
        <v>16</v>
      </c>
      <c r="M465" s="71" t="s">
        <v>1235</v>
      </c>
      <c r="N465" s="38">
        <v>45855</v>
      </c>
      <c r="O465" s="16" t="str">
        <f t="shared" si="20"/>
        <v>OUI</v>
      </c>
    </row>
    <row r="466" spans="1:15" ht="15" customHeight="1" x14ac:dyDescent="0.3">
      <c r="A466" s="67" t="s">
        <v>17</v>
      </c>
      <c r="B466" s="91" t="s">
        <v>1236</v>
      </c>
      <c r="C466" s="68" t="s">
        <v>66</v>
      </c>
      <c r="D466" s="68" t="s">
        <v>1237</v>
      </c>
      <c r="E466" s="68" t="s">
        <v>19</v>
      </c>
      <c r="F466" s="69">
        <v>45855.884722222225</v>
      </c>
      <c r="G466" s="68">
        <v>1721</v>
      </c>
      <c r="H466" s="68" t="s">
        <v>14</v>
      </c>
      <c r="I466" s="79">
        <v>45858.432638888888</v>
      </c>
      <c r="J466" s="68">
        <v>1648</v>
      </c>
      <c r="K466" s="81" t="str">
        <f t="shared" si="19"/>
        <v>OUI</v>
      </c>
      <c r="L466" s="68" t="s">
        <v>16</v>
      </c>
      <c r="M466" s="71" t="s">
        <v>1238</v>
      </c>
      <c r="N466" s="38">
        <v>45857</v>
      </c>
      <c r="O466" s="16" t="str">
        <f t="shared" si="20"/>
        <v>OUI</v>
      </c>
    </row>
    <row r="467" spans="1:15" ht="15" customHeight="1" x14ac:dyDescent="0.3">
      <c r="A467" s="67" t="s">
        <v>1239</v>
      </c>
      <c r="B467" s="91" t="s">
        <v>1240</v>
      </c>
      <c r="C467" s="68" t="s">
        <v>206</v>
      </c>
      <c r="D467" s="68" t="s">
        <v>1241</v>
      </c>
      <c r="E467" s="68" t="s">
        <v>1242</v>
      </c>
      <c r="F467" s="69">
        <v>45859.652777777781</v>
      </c>
      <c r="G467" s="68">
        <v>0</v>
      </c>
      <c r="H467" s="68" t="s">
        <v>14</v>
      </c>
      <c r="I467" s="70"/>
      <c r="J467" s="68">
        <v>1649</v>
      </c>
      <c r="K467" s="81" t="str">
        <f t="shared" si="19"/>
        <v/>
      </c>
      <c r="L467" s="68" t="s">
        <v>16</v>
      </c>
      <c r="M467" s="71"/>
      <c r="O467" s="16" t="str">
        <f t="shared" si="20"/>
        <v/>
      </c>
    </row>
    <row r="468" spans="1:15" ht="15" customHeight="1" x14ac:dyDescent="0.3">
      <c r="A468" s="67" t="s">
        <v>150</v>
      </c>
      <c r="B468" s="91" t="s">
        <v>1243</v>
      </c>
      <c r="C468" s="1" t="s">
        <v>206</v>
      </c>
      <c r="D468" s="68" t="s">
        <v>1244</v>
      </c>
      <c r="E468" s="68" t="s">
        <v>33</v>
      </c>
      <c r="F468" s="69">
        <v>45860.372916666667</v>
      </c>
      <c r="G468" s="68">
        <v>1723</v>
      </c>
      <c r="H468" s="68" t="s">
        <v>14</v>
      </c>
      <c r="I468" s="70"/>
      <c r="J468" s="68">
        <v>1650</v>
      </c>
      <c r="K468" s="81" t="str">
        <f t="shared" si="19"/>
        <v/>
      </c>
      <c r="L468" s="68" t="s">
        <v>16</v>
      </c>
      <c r="M468" s="71"/>
      <c r="O468" s="16" t="str">
        <f t="shared" si="20"/>
        <v/>
      </c>
    </row>
    <row r="469" spans="1:15" ht="15" customHeight="1" x14ac:dyDescent="0.3">
      <c r="A469" s="67" t="s">
        <v>58</v>
      </c>
      <c r="B469" s="91" t="s">
        <v>1245</v>
      </c>
      <c r="C469" s="68" t="s">
        <v>88</v>
      </c>
      <c r="D469" s="68" t="s">
        <v>1246</v>
      </c>
      <c r="E469" s="68" t="s">
        <v>61</v>
      </c>
      <c r="F469" s="69">
        <v>45860.705555555556</v>
      </c>
      <c r="G469" s="68">
        <v>1725</v>
      </c>
      <c r="H469" s="68" t="s">
        <v>14</v>
      </c>
      <c r="I469" s="70"/>
      <c r="J469" s="68">
        <v>1651</v>
      </c>
      <c r="K469" s="81" t="str">
        <f t="shared" si="19"/>
        <v/>
      </c>
      <c r="L469" s="68" t="s">
        <v>16</v>
      </c>
      <c r="M469" s="71"/>
      <c r="O469" s="16" t="str">
        <f t="shared" si="20"/>
        <v/>
      </c>
    </row>
    <row r="470" spans="1:15" ht="15" customHeight="1" x14ac:dyDescent="0.3">
      <c r="A470" s="67" t="s">
        <v>28</v>
      </c>
      <c r="B470" s="91" t="s">
        <v>1247</v>
      </c>
      <c r="C470" s="1" t="s">
        <v>723</v>
      </c>
      <c r="D470" s="68" t="s">
        <v>1248</v>
      </c>
      <c r="E470" s="68" t="s">
        <v>31</v>
      </c>
      <c r="F470" s="69">
        <v>45861.670138888891</v>
      </c>
      <c r="G470" s="68">
        <v>1726</v>
      </c>
      <c r="H470" s="68" t="s">
        <v>24</v>
      </c>
      <c r="I470" s="79">
        <v>45861.67291666667</v>
      </c>
      <c r="J470" s="68">
        <v>1652</v>
      </c>
      <c r="K470" s="81" t="str">
        <f t="shared" si="19"/>
        <v>OUI</v>
      </c>
      <c r="L470" s="68" t="s">
        <v>16</v>
      </c>
      <c r="M470" s="71" t="s">
        <v>1249</v>
      </c>
      <c r="O470" s="16" t="str">
        <f t="shared" si="20"/>
        <v>OUI</v>
      </c>
    </row>
    <row r="471" spans="1:15" ht="15" customHeight="1" x14ac:dyDescent="0.3">
      <c r="A471" s="67" t="s">
        <v>17</v>
      </c>
      <c r="B471" s="10" t="s">
        <v>1250</v>
      </c>
      <c r="C471" s="68" t="s">
        <v>93</v>
      </c>
      <c r="D471" s="68" t="s">
        <v>1251</v>
      </c>
      <c r="E471" s="68" t="s">
        <v>19</v>
      </c>
      <c r="F471" s="69">
        <v>45862.518750000003</v>
      </c>
      <c r="G471" s="68">
        <v>1728</v>
      </c>
      <c r="H471" s="68" t="s">
        <v>14</v>
      </c>
      <c r="I471" s="70"/>
      <c r="J471" s="68">
        <v>1653</v>
      </c>
      <c r="K471" s="81" t="str">
        <f t="shared" si="19"/>
        <v/>
      </c>
      <c r="L471" s="68" t="s">
        <v>16</v>
      </c>
      <c r="M471" s="71"/>
      <c r="O471" s="16" t="str">
        <f t="shared" si="20"/>
        <v/>
      </c>
    </row>
    <row r="472" spans="1:15" ht="15" customHeight="1" x14ac:dyDescent="0.3">
      <c r="A472" s="72" t="s">
        <v>32</v>
      </c>
      <c r="B472" s="90" t="s">
        <v>1252</v>
      </c>
      <c r="C472" s="1" t="s">
        <v>206</v>
      </c>
      <c r="D472" s="73" t="s">
        <v>1253</v>
      </c>
      <c r="E472" s="73" t="s">
        <v>33</v>
      </c>
      <c r="F472" s="74">
        <v>45866.316666666666</v>
      </c>
      <c r="G472" s="73">
        <v>1730</v>
      </c>
      <c r="H472" s="73" t="s">
        <v>14</v>
      </c>
      <c r="I472" s="75"/>
      <c r="J472" s="73">
        <v>1654</v>
      </c>
      <c r="K472" s="81" t="str">
        <f t="shared" si="19"/>
        <v/>
      </c>
      <c r="L472" s="73" t="s">
        <v>16</v>
      </c>
      <c r="M472" s="76"/>
      <c r="O472" s="16" t="str">
        <f t="shared" si="20"/>
        <v/>
      </c>
    </row>
    <row r="473" spans="1:15" ht="15" customHeight="1" x14ac:dyDescent="0.3">
      <c r="A473" s="67" t="s">
        <v>17</v>
      </c>
      <c r="B473" s="10" t="s">
        <v>391</v>
      </c>
      <c r="C473" s="68" t="s">
        <v>66</v>
      </c>
      <c r="D473" s="68" t="s">
        <v>1254</v>
      </c>
      <c r="E473" s="68" t="s">
        <v>19</v>
      </c>
      <c r="F473" s="69">
        <v>45868.663194444445</v>
      </c>
      <c r="G473" s="68">
        <v>1732</v>
      </c>
      <c r="H473" s="68" t="s">
        <v>14</v>
      </c>
      <c r="I473" s="70"/>
      <c r="J473" s="68">
        <v>1655</v>
      </c>
      <c r="K473" s="81" t="str">
        <f t="shared" si="19"/>
        <v/>
      </c>
      <c r="L473" s="68" t="s">
        <v>16</v>
      </c>
      <c r="M473" s="71"/>
      <c r="O473" s="16" t="str">
        <f t="shared" si="20"/>
        <v/>
      </c>
    </row>
    <row r="474" spans="1:15" ht="15" customHeight="1" x14ac:dyDescent="0.3">
      <c r="A474" s="67" t="s">
        <v>17</v>
      </c>
      <c r="B474" s="10" t="s">
        <v>391</v>
      </c>
      <c r="C474" s="68" t="s">
        <v>66</v>
      </c>
      <c r="D474" s="68" t="s">
        <v>1255</v>
      </c>
      <c r="E474" s="68" t="s">
        <v>19</v>
      </c>
      <c r="F474" s="69">
        <v>45868.676388888889</v>
      </c>
      <c r="G474" s="68">
        <v>1734</v>
      </c>
      <c r="H474" s="68" t="s">
        <v>14</v>
      </c>
      <c r="I474" s="70"/>
      <c r="J474" s="68">
        <v>1656</v>
      </c>
      <c r="K474" s="81" t="str">
        <f t="shared" si="19"/>
        <v/>
      </c>
      <c r="L474" s="68" t="s">
        <v>16</v>
      </c>
      <c r="M474" s="71"/>
      <c r="O474" s="16" t="str">
        <f t="shared" si="20"/>
        <v/>
      </c>
    </row>
    <row r="475" spans="1:15" ht="15" customHeight="1" x14ac:dyDescent="0.3">
      <c r="A475" s="72" t="s">
        <v>34</v>
      </c>
      <c r="B475" s="90" t="s">
        <v>952</v>
      </c>
      <c r="C475" s="73" t="s">
        <v>172</v>
      </c>
      <c r="D475" s="73" t="s">
        <v>1256</v>
      </c>
      <c r="E475" s="73" t="s">
        <v>38</v>
      </c>
      <c r="F475" s="74">
        <v>45869.45416666667</v>
      </c>
      <c r="G475" s="73">
        <v>1736</v>
      </c>
      <c r="H475" s="73" t="s">
        <v>14</v>
      </c>
      <c r="I475" s="75"/>
      <c r="J475" s="73">
        <v>1657</v>
      </c>
      <c r="K475" s="81" t="str">
        <f t="shared" si="19"/>
        <v/>
      </c>
      <c r="L475" s="73" t="s">
        <v>16</v>
      </c>
      <c r="M475" s="76"/>
      <c r="O475" s="16" t="str">
        <f t="shared" si="20"/>
        <v/>
      </c>
    </row>
    <row r="476" spans="1:15" ht="15" customHeight="1" x14ac:dyDescent="0.3">
      <c r="A476" s="67" t="s">
        <v>17</v>
      </c>
      <c r="B476" s="10" t="s">
        <v>1257</v>
      </c>
      <c r="C476" s="68" t="s">
        <v>36</v>
      </c>
      <c r="D476" s="68" t="s">
        <v>981</v>
      </c>
      <c r="E476" s="68" t="s">
        <v>19</v>
      </c>
      <c r="F476" s="69">
        <v>45876.629861111112</v>
      </c>
      <c r="G476" s="68">
        <v>1738</v>
      </c>
      <c r="H476" s="68" t="s">
        <v>14</v>
      </c>
      <c r="I476" s="70"/>
      <c r="J476" s="68">
        <v>1658</v>
      </c>
      <c r="K476" s="81" t="str">
        <f t="shared" si="19"/>
        <v/>
      </c>
      <c r="L476" s="68" t="s">
        <v>165</v>
      </c>
      <c r="M476" s="71" t="s">
        <v>982</v>
      </c>
      <c r="O476" s="16" t="str">
        <f t="shared" si="20"/>
        <v/>
      </c>
    </row>
    <row r="477" spans="1:15" ht="15" customHeight="1" x14ac:dyDescent="0.3">
      <c r="A477" s="67" t="s">
        <v>32</v>
      </c>
      <c r="B477" s="91" t="s">
        <v>1258</v>
      </c>
      <c r="C477" s="68" t="s">
        <v>172</v>
      </c>
      <c r="D477" s="68" t="s">
        <v>1259</v>
      </c>
      <c r="E477" s="68" t="s">
        <v>33</v>
      </c>
      <c r="F477" s="69">
        <v>45877.668749999997</v>
      </c>
      <c r="G477" s="68">
        <v>1740</v>
      </c>
      <c r="H477" s="68" t="s">
        <v>14</v>
      </c>
      <c r="I477" s="70"/>
      <c r="J477" s="68">
        <v>1659</v>
      </c>
      <c r="K477" s="81" t="str">
        <f t="shared" si="19"/>
        <v/>
      </c>
      <c r="L477" s="68" t="s">
        <v>16</v>
      </c>
      <c r="M477" s="71"/>
      <c r="O477" s="16" t="str">
        <f t="shared" si="20"/>
        <v/>
      </c>
    </row>
    <row r="478" spans="1:15" ht="15" customHeight="1" x14ac:dyDescent="0.3">
      <c r="A478" s="72" t="s">
        <v>17</v>
      </c>
      <c r="B478" s="10" t="s">
        <v>1260</v>
      </c>
      <c r="C478" s="1" t="s">
        <v>93</v>
      </c>
      <c r="D478" s="73" t="s">
        <v>1261</v>
      </c>
      <c r="E478" s="73" t="s">
        <v>19</v>
      </c>
      <c r="F478" s="74">
        <v>45885.472222222219</v>
      </c>
      <c r="G478" s="73">
        <v>1742</v>
      </c>
      <c r="H478" s="73" t="s">
        <v>14</v>
      </c>
      <c r="I478" s="75"/>
      <c r="J478" s="73">
        <v>1660</v>
      </c>
      <c r="K478" s="81" t="str">
        <f t="shared" si="19"/>
        <v/>
      </c>
      <c r="L478" s="73" t="s">
        <v>16</v>
      </c>
      <c r="M478" s="76"/>
      <c r="O478" s="16" t="str">
        <f t="shared" si="20"/>
        <v/>
      </c>
    </row>
    <row r="479" spans="1:15" ht="15" customHeight="1" x14ac:dyDescent="0.3">
      <c r="A479" s="67" t="s">
        <v>34</v>
      </c>
      <c r="B479" s="91" t="s">
        <v>1262</v>
      </c>
      <c r="C479" s="68" t="s">
        <v>187</v>
      </c>
      <c r="D479" s="68" t="s">
        <v>1263</v>
      </c>
      <c r="E479" s="68" t="s">
        <v>38</v>
      </c>
      <c r="F479" s="69">
        <v>45890.49722222222</v>
      </c>
      <c r="G479" s="68">
        <v>1744</v>
      </c>
      <c r="H479" s="68" t="s">
        <v>14</v>
      </c>
      <c r="I479" s="70"/>
      <c r="J479" s="68">
        <v>1661</v>
      </c>
      <c r="K479" s="81" t="str">
        <f t="shared" si="19"/>
        <v/>
      </c>
      <c r="L479" s="68" t="s">
        <v>16</v>
      </c>
      <c r="M479" s="71"/>
      <c r="O479" s="16" t="str">
        <f t="shared" si="20"/>
        <v/>
      </c>
    </row>
    <row r="480" spans="1:15" ht="15" customHeight="1" x14ac:dyDescent="0.3">
      <c r="A480" s="67" t="s">
        <v>99</v>
      </c>
      <c r="B480" s="10" t="s">
        <v>1264</v>
      </c>
      <c r="C480" s="1" t="s">
        <v>316</v>
      </c>
      <c r="D480" t="s">
        <v>1265</v>
      </c>
      <c r="E480" s="68" t="s">
        <v>13</v>
      </c>
      <c r="F480" s="69">
        <v>45890.545138888891</v>
      </c>
      <c r="G480" s="68">
        <v>1746</v>
      </c>
      <c r="H480" s="68" t="s">
        <v>14</v>
      </c>
      <c r="I480" s="70"/>
      <c r="J480" s="68">
        <v>1662</v>
      </c>
      <c r="K480" s="81" t="str">
        <f t="shared" si="19"/>
        <v/>
      </c>
      <c r="L480" s="68" t="s">
        <v>16</v>
      </c>
      <c r="M480" s="71"/>
      <c r="O480" s="16" t="str">
        <f t="shared" si="20"/>
        <v/>
      </c>
    </row>
    <row r="481" spans="1:15" ht="15" customHeight="1" x14ac:dyDescent="0.3">
      <c r="A481" s="67" t="s">
        <v>17</v>
      </c>
      <c r="B481" s="10" t="s">
        <v>1266</v>
      </c>
      <c r="C481" s="68" t="s">
        <v>172</v>
      </c>
      <c r="D481" s="68" t="s">
        <v>1267</v>
      </c>
      <c r="E481" s="68" t="s">
        <v>19</v>
      </c>
      <c r="F481" s="69">
        <v>45894.515972222223</v>
      </c>
      <c r="G481" s="68">
        <v>1748</v>
      </c>
      <c r="H481" s="68" t="s">
        <v>14</v>
      </c>
      <c r="I481" s="79">
        <v>45951.483460648145</v>
      </c>
      <c r="J481" s="68">
        <v>1663</v>
      </c>
      <c r="K481" s="81" t="str">
        <f t="shared" si="19"/>
        <v>OUI</v>
      </c>
      <c r="L481" s="68" t="s">
        <v>16</v>
      </c>
      <c r="M481" s="71" t="s">
        <v>1268</v>
      </c>
      <c r="N481" s="38">
        <v>45952</v>
      </c>
      <c r="O481" s="16" t="str">
        <f t="shared" si="20"/>
        <v>OUI</v>
      </c>
    </row>
    <row r="482" spans="1:15" ht="15" customHeight="1" x14ac:dyDescent="0.3">
      <c r="A482" s="67" t="s">
        <v>17</v>
      </c>
      <c r="B482" s="10" t="s">
        <v>1269</v>
      </c>
      <c r="C482" s="1" t="s">
        <v>172</v>
      </c>
      <c r="D482" s="68" t="s">
        <v>1270</v>
      </c>
      <c r="E482" s="68" t="s">
        <v>19</v>
      </c>
      <c r="F482" s="69">
        <v>45895.293749999997</v>
      </c>
      <c r="G482" s="68">
        <v>1750</v>
      </c>
      <c r="H482" s="68" t="s">
        <v>14</v>
      </c>
      <c r="I482" s="79">
        <v>45951.502337962964</v>
      </c>
      <c r="J482" s="68">
        <v>1664</v>
      </c>
      <c r="K482" s="81" t="str">
        <f t="shared" si="19"/>
        <v>OUI</v>
      </c>
      <c r="L482" s="68" t="s">
        <v>16</v>
      </c>
      <c r="M482" s="71" t="s">
        <v>1271</v>
      </c>
      <c r="N482" s="38">
        <v>45952</v>
      </c>
      <c r="O482" s="16" t="str">
        <f t="shared" si="20"/>
        <v>OUI</v>
      </c>
    </row>
    <row r="483" spans="1:15" ht="15" customHeight="1" x14ac:dyDescent="0.3">
      <c r="A483" s="67" t="s">
        <v>17</v>
      </c>
      <c r="B483" s="10" t="s">
        <v>1269</v>
      </c>
      <c r="C483" s="1" t="s">
        <v>172</v>
      </c>
      <c r="D483" s="68" t="s">
        <v>1272</v>
      </c>
      <c r="E483" s="68" t="s">
        <v>19</v>
      </c>
      <c r="F483" s="69">
        <v>45895.315972222219</v>
      </c>
      <c r="G483" s="68">
        <v>1752</v>
      </c>
      <c r="H483" s="68" t="s">
        <v>14</v>
      </c>
      <c r="I483" s="79">
        <v>45951.507939814815</v>
      </c>
      <c r="J483" s="68">
        <v>1665</v>
      </c>
      <c r="K483" s="81" t="str">
        <f t="shared" si="19"/>
        <v>OUI</v>
      </c>
      <c r="L483" s="68" t="s">
        <v>16</v>
      </c>
      <c r="M483" s="71" t="s">
        <v>1273</v>
      </c>
      <c r="N483" s="38">
        <v>45952</v>
      </c>
      <c r="O483" s="16" t="str">
        <f t="shared" si="20"/>
        <v>OUI</v>
      </c>
    </row>
    <row r="484" spans="1:15" ht="15" customHeight="1" x14ac:dyDescent="0.3">
      <c r="A484" s="67" t="s">
        <v>17</v>
      </c>
      <c r="B484" s="10" t="s">
        <v>1274</v>
      </c>
      <c r="C484" s="1" t="s">
        <v>172</v>
      </c>
      <c r="D484" s="68" t="s">
        <v>1275</v>
      </c>
      <c r="E484" s="68" t="s">
        <v>19</v>
      </c>
      <c r="F484" s="69">
        <v>45895.324999999997</v>
      </c>
      <c r="G484" s="68">
        <v>1754</v>
      </c>
      <c r="H484" s="68" t="s">
        <v>14</v>
      </c>
      <c r="I484" s="79">
        <v>45951.504143518519</v>
      </c>
      <c r="J484" s="68">
        <v>1666</v>
      </c>
      <c r="K484" s="81" t="str">
        <f t="shared" si="19"/>
        <v>OUI</v>
      </c>
      <c r="L484" s="68" t="s">
        <v>16</v>
      </c>
      <c r="M484" s="71" t="s">
        <v>1276</v>
      </c>
      <c r="N484" s="38">
        <v>45952</v>
      </c>
      <c r="O484" s="16" t="str">
        <f t="shared" si="20"/>
        <v>OUI</v>
      </c>
    </row>
    <row r="485" spans="1:15" ht="15" customHeight="1" x14ac:dyDescent="0.3">
      <c r="A485" s="67" t="s">
        <v>17</v>
      </c>
      <c r="B485" s="10" t="s">
        <v>1274</v>
      </c>
      <c r="C485" s="1" t="s">
        <v>172</v>
      </c>
      <c r="D485" s="68" t="s">
        <v>1277</v>
      </c>
      <c r="E485" s="68" t="s">
        <v>19</v>
      </c>
      <c r="F485" s="69">
        <v>45895.335416666669</v>
      </c>
      <c r="G485" s="68">
        <v>1756</v>
      </c>
      <c r="H485" s="68" t="s">
        <v>14</v>
      </c>
      <c r="I485" s="79">
        <v>45951.510682870372</v>
      </c>
      <c r="J485" s="68">
        <v>1667</v>
      </c>
      <c r="K485" s="81" t="str">
        <f t="shared" si="19"/>
        <v>OUI</v>
      </c>
      <c r="L485" s="68" t="s">
        <v>16</v>
      </c>
      <c r="M485" s="71" t="s">
        <v>1278</v>
      </c>
      <c r="N485" s="38">
        <v>45952</v>
      </c>
      <c r="O485" s="16" t="str">
        <f t="shared" si="20"/>
        <v>OUI</v>
      </c>
    </row>
    <row r="486" spans="1:15" ht="15" customHeight="1" x14ac:dyDescent="0.3">
      <c r="A486" s="67" t="s">
        <v>17</v>
      </c>
      <c r="B486" s="10" t="s">
        <v>1279</v>
      </c>
      <c r="C486" s="1" t="s">
        <v>172</v>
      </c>
      <c r="D486" s="68" t="s">
        <v>1280</v>
      </c>
      <c r="E486" s="68" t="s">
        <v>19</v>
      </c>
      <c r="F486" s="69">
        <v>45895.352083333331</v>
      </c>
      <c r="G486" s="68">
        <v>1758</v>
      </c>
      <c r="H486" s="68" t="s">
        <v>14</v>
      </c>
      <c r="I486" s="79">
        <v>45951.480439814812</v>
      </c>
      <c r="J486" s="68">
        <v>1668</v>
      </c>
      <c r="K486" s="81" t="str">
        <f t="shared" si="19"/>
        <v>OUI</v>
      </c>
      <c r="L486" s="68" t="s">
        <v>16</v>
      </c>
      <c r="M486" s="71" t="s">
        <v>1281</v>
      </c>
      <c r="N486" s="38">
        <v>45952</v>
      </c>
      <c r="O486" s="16" t="str">
        <f t="shared" si="20"/>
        <v>OUI</v>
      </c>
    </row>
    <row r="487" spans="1:15" ht="15" customHeight="1" x14ac:dyDescent="0.3">
      <c r="A487" s="67" t="s">
        <v>17</v>
      </c>
      <c r="B487" s="10" t="s">
        <v>1274</v>
      </c>
      <c r="C487" s="1" t="s">
        <v>172</v>
      </c>
      <c r="D487" s="68" t="s">
        <v>1282</v>
      </c>
      <c r="E487" s="68" t="s">
        <v>19</v>
      </c>
      <c r="F487" s="69">
        <v>45895.378472222219</v>
      </c>
      <c r="G487" s="68">
        <v>1760</v>
      </c>
      <c r="H487" s="68" t="s">
        <v>14</v>
      </c>
      <c r="I487" s="79">
        <v>45951.501064814816</v>
      </c>
      <c r="J487" s="68">
        <v>1669</v>
      </c>
      <c r="K487" s="81" t="str">
        <f t="shared" si="19"/>
        <v>OUI</v>
      </c>
      <c r="L487" s="68" t="s">
        <v>16</v>
      </c>
      <c r="M487" s="71" t="s">
        <v>1283</v>
      </c>
      <c r="N487" s="38">
        <v>45952</v>
      </c>
      <c r="O487" s="16" t="str">
        <f t="shared" si="20"/>
        <v>OUI</v>
      </c>
    </row>
    <row r="488" spans="1:15" ht="15" customHeight="1" x14ac:dyDescent="0.3">
      <c r="A488" s="67" t="s">
        <v>17</v>
      </c>
      <c r="B488" s="10" t="s">
        <v>1274</v>
      </c>
      <c r="C488" s="1" t="s">
        <v>172</v>
      </c>
      <c r="D488" s="68" t="s">
        <v>1284</v>
      </c>
      <c r="E488" s="68" t="s">
        <v>19</v>
      </c>
      <c r="F488" s="69">
        <v>45895.4</v>
      </c>
      <c r="G488" s="68">
        <v>1762</v>
      </c>
      <c r="H488" s="68" t="s">
        <v>14</v>
      </c>
      <c r="I488" s="79">
        <v>45951.487337962964</v>
      </c>
      <c r="J488" s="68">
        <v>1670</v>
      </c>
      <c r="K488" s="81" t="str">
        <f t="shared" si="19"/>
        <v>OUI</v>
      </c>
      <c r="L488" s="68" t="s">
        <v>16</v>
      </c>
      <c r="M488" s="71" t="s">
        <v>1285</v>
      </c>
      <c r="N488" s="38">
        <v>45952</v>
      </c>
      <c r="O488" s="16" t="str">
        <f t="shared" si="20"/>
        <v>OUI</v>
      </c>
    </row>
    <row r="489" spans="1:15" ht="15" customHeight="1" x14ac:dyDescent="0.3">
      <c r="A489" s="67" t="s">
        <v>17</v>
      </c>
      <c r="B489" s="10" t="s">
        <v>1274</v>
      </c>
      <c r="C489" s="1" t="s">
        <v>172</v>
      </c>
      <c r="D489" s="68" t="s">
        <v>1286</v>
      </c>
      <c r="E489" s="68" t="s">
        <v>19</v>
      </c>
      <c r="F489" s="69">
        <v>45895.404166666667</v>
      </c>
      <c r="G489" s="68">
        <v>1764</v>
      </c>
      <c r="H489" s="68" t="s">
        <v>14</v>
      </c>
      <c r="I489" s="79">
        <v>45951.478715277779</v>
      </c>
      <c r="J489" s="68">
        <v>1671</v>
      </c>
      <c r="K489" s="81" t="str">
        <f t="shared" si="19"/>
        <v>OUI</v>
      </c>
      <c r="L489" s="68" t="s">
        <v>16</v>
      </c>
      <c r="M489" s="71" t="s">
        <v>1287</v>
      </c>
      <c r="N489" s="38">
        <v>45952</v>
      </c>
      <c r="O489" s="16" t="str">
        <f t="shared" si="20"/>
        <v>OUI</v>
      </c>
    </row>
    <row r="490" spans="1:15" ht="15" customHeight="1" x14ac:dyDescent="0.3">
      <c r="A490" s="67" t="s">
        <v>17</v>
      </c>
      <c r="B490" s="10" t="s">
        <v>1274</v>
      </c>
      <c r="C490" s="1" t="s">
        <v>172</v>
      </c>
      <c r="D490" s="68" t="s">
        <v>1288</v>
      </c>
      <c r="E490" s="68" t="s">
        <v>19</v>
      </c>
      <c r="F490" s="69">
        <v>45895.415972222225</v>
      </c>
      <c r="G490" s="68">
        <v>1766</v>
      </c>
      <c r="H490" s="68" t="s">
        <v>14</v>
      </c>
      <c r="I490" s="79">
        <v>45951.512245370373</v>
      </c>
      <c r="J490" s="68">
        <v>1672</v>
      </c>
      <c r="K490" s="81" t="str">
        <f t="shared" si="19"/>
        <v>OUI</v>
      </c>
      <c r="L490" s="68" t="s">
        <v>16</v>
      </c>
      <c r="M490" s="71" t="s">
        <v>1289</v>
      </c>
      <c r="N490" s="38">
        <v>45952</v>
      </c>
      <c r="O490" s="16" t="str">
        <f t="shared" si="20"/>
        <v>OUI</v>
      </c>
    </row>
    <row r="491" spans="1:15" ht="15" customHeight="1" x14ac:dyDescent="0.3">
      <c r="A491" s="67" t="s">
        <v>17</v>
      </c>
      <c r="B491" s="10" t="s">
        <v>1274</v>
      </c>
      <c r="C491" s="1" t="s">
        <v>172</v>
      </c>
      <c r="D491" s="68" t="s">
        <v>1290</v>
      </c>
      <c r="E491" s="68" t="s">
        <v>19</v>
      </c>
      <c r="F491" s="69">
        <v>45895.433333333334</v>
      </c>
      <c r="G491" s="68">
        <v>1768</v>
      </c>
      <c r="H491" s="68" t="s">
        <v>14</v>
      </c>
      <c r="I491" s="79">
        <v>45951.522118055553</v>
      </c>
      <c r="J491" s="68">
        <v>1673</v>
      </c>
      <c r="K491" s="81" t="str">
        <f t="shared" si="19"/>
        <v>OUI</v>
      </c>
      <c r="L491" s="68" t="s">
        <v>16</v>
      </c>
      <c r="M491" s="76" t="s">
        <v>1291</v>
      </c>
      <c r="N491" s="38">
        <v>45952</v>
      </c>
      <c r="O491" s="16" t="str">
        <f t="shared" si="20"/>
        <v>OUI</v>
      </c>
    </row>
    <row r="492" spans="1:15" ht="15" customHeight="1" x14ac:dyDescent="0.3">
      <c r="A492" s="67" t="s">
        <v>17</v>
      </c>
      <c r="B492" s="10" t="s">
        <v>1274</v>
      </c>
      <c r="C492" s="1" t="s">
        <v>172</v>
      </c>
      <c r="D492" s="68" t="s">
        <v>1292</v>
      </c>
      <c r="E492" s="68" t="s">
        <v>19</v>
      </c>
      <c r="F492" s="69">
        <v>45895.493750000001</v>
      </c>
      <c r="G492" s="68">
        <v>1772</v>
      </c>
      <c r="H492" s="68" t="s">
        <v>14</v>
      </c>
      <c r="I492" s="79">
        <v>45951.514074074075</v>
      </c>
      <c r="J492" s="68">
        <v>1675</v>
      </c>
      <c r="K492" s="81" t="str">
        <f t="shared" si="19"/>
        <v>OUI</v>
      </c>
      <c r="L492" s="68" t="s">
        <v>16</v>
      </c>
      <c r="M492" s="71" t="s">
        <v>1293</v>
      </c>
      <c r="N492" s="38">
        <v>45952</v>
      </c>
      <c r="O492" s="16" t="str">
        <f t="shared" si="20"/>
        <v>OUI</v>
      </c>
    </row>
    <row r="493" spans="1:15" ht="15" customHeight="1" x14ac:dyDescent="0.3">
      <c r="A493" s="67" t="s">
        <v>17</v>
      </c>
      <c r="B493" s="10" t="s">
        <v>1294</v>
      </c>
      <c r="C493" s="1" t="s">
        <v>398</v>
      </c>
      <c r="D493" s="68" t="s">
        <v>1295</v>
      </c>
      <c r="E493" s="68" t="s">
        <v>19</v>
      </c>
      <c r="F493" s="69">
        <v>45895.541666666664</v>
      </c>
      <c r="G493" s="68">
        <v>1774</v>
      </c>
      <c r="H493" s="68" t="s">
        <v>14</v>
      </c>
      <c r="I493" s="79">
        <v>45911.548506944448</v>
      </c>
      <c r="J493" s="68">
        <v>1676</v>
      </c>
      <c r="K493" s="81" t="str">
        <f t="shared" si="19"/>
        <v>OUI</v>
      </c>
      <c r="L493" s="68" t="s">
        <v>16</v>
      </c>
      <c r="M493" s="71" t="s">
        <v>1296</v>
      </c>
      <c r="N493" s="38">
        <v>45902</v>
      </c>
      <c r="O493" s="16" t="str">
        <f t="shared" si="20"/>
        <v>OUI</v>
      </c>
    </row>
    <row r="494" spans="1:15" ht="15" customHeight="1" x14ac:dyDescent="0.3">
      <c r="A494" s="67" t="s">
        <v>34</v>
      </c>
      <c r="B494" s="91" t="s">
        <v>1297</v>
      </c>
      <c r="C494" s="68" t="s">
        <v>47</v>
      </c>
      <c r="D494" s="68" t="s">
        <v>1298</v>
      </c>
      <c r="E494" s="68" t="s">
        <v>38</v>
      </c>
      <c r="F494" s="69">
        <v>45895.572222222225</v>
      </c>
      <c r="G494" s="68">
        <v>1776</v>
      </c>
      <c r="H494" s="68" t="s">
        <v>14</v>
      </c>
      <c r="I494" s="70"/>
      <c r="J494" s="68">
        <v>1677</v>
      </c>
      <c r="K494" s="81" t="str">
        <f t="shared" si="19"/>
        <v/>
      </c>
      <c r="L494" s="68" t="s">
        <v>16</v>
      </c>
      <c r="M494" s="71"/>
      <c r="O494" s="16" t="str">
        <f t="shared" si="20"/>
        <v/>
      </c>
    </row>
    <row r="495" spans="1:15" ht="15" customHeight="1" x14ac:dyDescent="0.3">
      <c r="A495" s="67" t="s">
        <v>17</v>
      </c>
      <c r="B495" s="10" t="s">
        <v>1274</v>
      </c>
      <c r="C495" s="68" t="s">
        <v>172</v>
      </c>
      <c r="D495" s="68" t="s">
        <v>1299</v>
      </c>
      <c r="E495" s="68" t="s">
        <v>19</v>
      </c>
      <c r="F495" s="69">
        <v>45895.622916666667</v>
      </c>
      <c r="G495" s="68">
        <v>1778</v>
      </c>
      <c r="H495" s="68" t="s">
        <v>14</v>
      </c>
      <c r="I495" s="79">
        <v>45951.48537037037</v>
      </c>
      <c r="J495" s="68">
        <v>1678</v>
      </c>
      <c r="K495" s="81" t="str">
        <f t="shared" si="19"/>
        <v>OUI</v>
      </c>
      <c r="L495" s="68" t="s">
        <v>16</v>
      </c>
      <c r="M495" s="71" t="s">
        <v>1300</v>
      </c>
      <c r="N495" s="38">
        <v>45952</v>
      </c>
      <c r="O495" s="16" t="str">
        <f t="shared" si="20"/>
        <v>OUI</v>
      </c>
    </row>
    <row r="496" spans="1:15" ht="15" customHeight="1" x14ac:dyDescent="0.3">
      <c r="A496" s="67" t="s">
        <v>17</v>
      </c>
      <c r="B496" s="10" t="s">
        <v>1274</v>
      </c>
      <c r="C496" s="1" t="s">
        <v>172</v>
      </c>
      <c r="D496" s="68" t="s">
        <v>1301</v>
      </c>
      <c r="E496" s="68" t="s">
        <v>19</v>
      </c>
      <c r="F496" s="69">
        <v>45895.643750000003</v>
      </c>
      <c r="G496" s="68">
        <v>1782</v>
      </c>
      <c r="H496" s="68" t="s">
        <v>14</v>
      </c>
      <c r="I496" s="79">
        <v>45951.503449074073</v>
      </c>
      <c r="J496" s="68">
        <v>1680</v>
      </c>
      <c r="K496" s="81" t="str">
        <f t="shared" si="19"/>
        <v>OUI</v>
      </c>
      <c r="L496" s="68" t="s">
        <v>16</v>
      </c>
      <c r="M496" s="71" t="s">
        <v>1302</v>
      </c>
      <c r="N496" s="38">
        <v>45952</v>
      </c>
      <c r="O496" s="16" t="str">
        <f t="shared" si="20"/>
        <v>OUI</v>
      </c>
    </row>
    <row r="497" spans="1:15" ht="15" customHeight="1" x14ac:dyDescent="0.3">
      <c r="A497" s="67" t="s">
        <v>34</v>
      </c>
      <c r="B497" s="91" t="s">
        <v>1</v>
      </c>
      <c r="C497" s="68" t="s">
        <v>1303</v>
      </c>
      <c r="D497" s="68" t="s">
        <v>1304</v>
      </c>
      <c r="E497" s="68" t="s">
        <v>38</v>
      </c>
      <c r="F497" s="69">
        <v>45895.661111111112</v>
      </c>
      <c r="G497" s="68">
        <v>1681</v>
      </c>
      <c r="H497" s="68" t="s">
        <v>24</v>
      </c>
      <c r="I497" s="79">
        <v>45895.662499999999</v>
      </c>
      <c r="J497" s="68">
        <v>1681</v>
      </c>
      <c r="K497" s="81" t="str">
        <f t="shared" si="19"/>
        <v>OUI</v>
      </c>
      <c r="L497" s="68" t="s">
        <v>16</v>
      </c>
      <c r="M497" s="71" t="s">
        <v>1305</v>
      </c>
      <c r="O497" s="16" t="str">
        <f t="shared" si="20"/>
        <v>OUI</v>
      </c>
    </row>
    <row r="498" spans="1:15" ht="15" customHeight="1" x14ac:dyDescent="0.3">
      <c r="A498" s="67" t="s">
        <v>17</v>
      </c>
      <c r="B498" s="10" t="s">
        <v>1274</v>
      </c>
      <c r="C498" s="1" t="s">
        <v>172</v>
      </c>
      <c r="D498" s="68" t="s">
        <v>1306</v>
      </c>
      <c r="E498" s="68" t="s">
        <v>19</v>
      </c>
      <c r="F498" s="69">
        <v>45895.677083333336</v>
      </c>
      <c r="G498" s="68">
        <v>1784</v>
      </c>
      <c r="H498" s="68" t="s">
        <v>14</v>
      </c>
      <c r="I498" s="79">
        <v>45951.508738425924</v>
      </c>
      <c r="J498" s="68">
        <v>1682</v>
      </c>
      <c r="K498" s="81" t="str">
        <f t="shared" si="19"/>
        <v>OUI</v>
      </c>
      <c r="L498" s="68" t="s">
        <v>16</v>
      </c>
      <c r="M498" s="71" t="s">
        <v>1307</v>
      </c>
      <c r="N498" s="38">
        <v>45952</v>
      </c>
      <c r="O498" s="16" t="str">
        <f t="shared" si="20"/>
        <v>OUI</v>
      </c>
    </row>
    <row r="499" spans="1:15" ht="15" customHeight="1" x14ac:dyDescent="0.3">
      <c r="A499" s="67" t="s">
        <v>17</v>
      </c>
      <c r="B499" s="10" t="s">
        <v>1274</v>
      </c>
      <c r="C499" s="1" t="s">
        <v>172</v>
      </c>
      <c r="D499" s="68" t="s">
        <v>1308</v>
      </c>
      <c r="E499" s="68" t="s">
        <v>19</v>
      </c>
      <c r="F499" s="69">
        <v>45895.695138888892</v>
      </c>
      <c r="G499" s="68">
        <v>1786</v>
      </c>
      <c r="H499" s="68" t="s">
        <v>14</v>
      </c>
      <c r="I499" s="79">
        <v>45951.51289351852</v>
      </c>
      <c r="J499" s="68">
        <v>1683</v>
      </c>
      <c r="K499" s="81" t="str">
        <f t="shared" si="19"/>
        <v>OUI</v>
      </c>
      <c r="L499" s="68" t="s">
        <v>16</v>
      </c>
      <c r="M499" s="71" t="s">
        <v>1309</v>
      </c>
      <c r="N499" s="38">
        <v>45952</v>
      </c>
      <c r="O499" s="16" t="str">
        <f t="shared" si="20"/>
        <v>OUI</v>
      </c>
    </row>
    <row r="500" spans="1:15" ht="15" customHeight="1" x14ac:dyDescent="0.3">
      <c r="A500" s="67" t="s">
        <v>17</v>
      </c>
      <c r="B500" s="10" t="s">
        <v>1274</v>
      </c>
      <c r="C500" s="68" t="s">
        <v>172</v>
      </c>
      <c r="D500" s="68" t="s">
        <v>1310</v>
      </c>
      <c r="E500" s="68" t="s">
        <v>19</v>
      </c>
      <c r="F500" s="69">
        <v>45895.696527777778</v>
      </c>
      <c r="G500" s="68">
        <v>1788</v>
      </c>
      <c r="H500" s="68" t="s">
        <v>14</v>
      </c>
      <c r="I500" s="79">
        <v>45951.521261574075</v>
      </c>
      <c r="J500" s="68">
        <v>1684</v>
      </c>
      <c r="K500" s="81" t="str">
        <f t="shared" si="19"/>
        <v>OUI</v>
      </c>
      <c r="L500" s="68" t="s">
        <v>16</v>
      </c>
      <c r="M500" s="71" t="s">
        <v>1311</v>
      </c>
      <c r="N500" s="38">
        <v>45952</v>
      </c>
      <c r="O500" s="16" t="str">
        <f t="shared" si="20"/>
        <v>OUI</v>
      </c>
    </row>
    <row r="501" spans="1:15" ht="15" customHeight="1" x14ac:dyDescent="0.3">
      <c r="A501" s="67" t="s">
        <v>17</v>
      </c>
      <c r="B501" s="10" t="s">
        <v>1274</v>
      </c>
      <c r="C501" s="68" t="s">
        <v>172</v>
      </c>
      <c r="D501" s="68" t="s">
        <v>1312</v>
      </c>
      <c r="E501" s="68" t="s">
        <v>19</v>
      </c>
      <c r="F501" s="69">
        <v>45895.725694444445</v>
      </c>
      <c r="G501" s="68">
        <v>1790</v>
      </c>
      <c r="H501" s="68" t="s">
        <v>14</v>
      </c>
      <c r="I501" s="79">
        <v>45951.520462962966</v>
      </c>
      <c r="J501" s="68">
        <v>1685</v>
      </c>
      <c r="K501" s="81" t="str">
        <f t="shared" ref="K501:K564" si="21">IF(AND(NOT(ISBLANK(I501)), NOT(ISBLANK(M501))), "OUI", "")</f>
        <v>OUI</v>
      </c>
      <c r="L501" s="68" t="s">
        <v>16</v>
      </c>
      <c r="M501" s="71" t="s">
        <v>1313</v>
      </c>
      <c r="N501" s="38">
        <v>45952</v>
      </c>
      <c r="O501" s="16" t="str">
        <f t="shared" si="20"/>
        <v>OUI</v>
      </c>
    </row>
    <row r="502" spans="1:15" ht="15" customHeight="1" x14ac:dyDescent="0.3">
      <c r="A502" s="67" t="s">
        <v>17</v>
      </c>
      <c r="B502" s="10" t="s">
        <v>1274</v>
      </c>
      <c r="C502" s="68" t="s">
        <v>172</v>
      </c>
      <c r="D502" s="68" t="s">
        <v>1314</v>
      </c>
      <c r="E502" s="68" t="s">
        <v>19</v>
      </c>
      <c r="F502" s="69">
        <v>45895.743750000001</v>
      </c>
      <c r="G502" s="68">
        <v>1792</v>
      </c>
      <c r="H502" s="68" t="s">
        <v>14</v>
      </c>
      <c r="I502" s="79">
        <v>45951.519594907404</v>
      </c>
      <c r="J502" s="68">
        <v>1686</v>
      </c>
      <c r="K502" s="81" t="str">
        <f t="shared" si="21"/>
        <v>OUI</v>
      </c>
      <c r="L502" s="68" t="s">
        <v>16</v>
      </c>
      <c r="M502" s="71" t="s">
        <v>1315</v>
      </c>
      <c r="N502" s="38">
        <v>45952</v>
      </c>
      <c r="O502" s="16" t="str">
        <f t="shared" si="20"/>
        <v>OUI</v>
      </c>
    </row>
    <row r="503" spans="1:15" ht="15" customHeight="1" x14ac:dyDescent="0.3">
      <c r="A503" s="67" t="s">
        <v>17</v>
      </c>
      <c r="B503" s="10" t="s">
        <v>1274</v>
      </c>
      <c r="C503" s="1" t="s">
        <v>172</v>
      </c>
      <c r="D503" s="68" t="s">
        <v>1316</v>
      </c>
      <c r="E503" s="68" t="s">
        <v>19</v>
      </c>
      <c r="F503" s="69">
        <v>45895.746527777781</v>
      </c>
      <c r="G503" s="68">
        <v>1794</v>
      </c>
      <c r="H503" s="68" t="s">
        <v>14</v>
      </c>
      <c r="I503" s="79">
        <v>45951.50540509259</v>
      </c>
      <c r="J503" s="68">
        <v>1687</v>
      </c>
      <c r="K503" s="81" t="str">
        <f t="shared" si="21"/>
        <v>OUI</v>
      </c>
      <c r="L503" s="68" t="s">
        <v>16</v>
      </c>
      <c r="M503" s="71" t="s">
        <v>1317</v>
      </c>
      <c r="N503" s="38">
        <v>45952</v>
      </c>
      <c r="O503" s="16" t="str">
        <f t="shared" si="20"/>
        <v>OUI</v>
      </c>
    </row>
    <row r="504" spans="1:15" ht="15" customHeight="1" x14ac:dyDescent="0.3">
      <c r="A504" s="67" t="s">
        <v>17</v>
      </c>
      <c r="B504" s="10" t="s">
        <v>1274</v>
      </c>
      <c r="C504" s="1" t="s">
        <v>172</v>
      </c>
      <c r="D504" s="68" t="s">
        <v>1318</v>
      </c>
      <c r="E504" s="68" t="s">
        <v>19</v>
      </c>
      <c r="F504" s="69">
        <v>45895.8</v>
      </c>
      <c r="G504" s="68">
        <v>1796</v>
      </c>
      <c r="H504" s="68" t="s">
        <v>14</v>
      </c>
      <c r="I504" s="79">
        <v>45951.518645833334</v>
      </c>
      <c r="J504" s="68">
        <v>1688</v>
      </c>
      <c r="K504" s="81" t="str">
        <f t="shared" si="21"/>
        <v>OUI</v>
      </c>
      <c r="L504" s="68" t="s">
        <v>16</v>
      </c>
      <c r="M504" s="71" t="s">
        <v>1319</v>
      </c>
      <c r="N504" s="38">
        <v>45952</v>
      </c>
      <c r="O504" s="16" t="str">
        <f t="shared" si="20"/>
        <v>OUI</v>
      </c>
    </row>
    <row r="505" spans="1:15" ht="15" customHeight="1" x14ac:dyDescent="0.3">
      <c r="A505" s="67" t="s">
        <v>17</v>
      </c>
      <c r="B505" s="10" t="s">
        <v>1274</v>
      </c>
      <c r="C505" s="1" t="s">
        <v>172</v>
      </c>
      <c r="D505" s="68" t="s">
        <v>1320</v>
      </c>
      <c r="E505" s="68" t="s">
        <v>19</v>
      </c>
      <c r="F505" s="69">
        <v>45895.804166666669</v>
      </c>
      <c r="G505" s="68">
        <v>1798</v>
      </c>
      <c r="H505" s="68" t="s">
        <v>14</v>
      </c>
      <c r="I505" s="79">
        <v>45951.506469907406</v>
      </c>
      <c r="J505" s="68">
        <v>1689</v>
      </c>
      <c r="K505" s="81" t="str">
        <f t="shared" si="21"/>
        <v>OUI</v>
      </c>
      <c r="L505" s="68" t="s">
        <v>16</v>
      </c>
      <c r="M505" s="71" t="s">
        <v>1321</v>
      </c>
      <c r="N505" s="38">
        <v>45952</v>
      </c>
      <c r="O505" s="16" t="str">
        <f t="shared" si="20"/>
        <v>OUI</v>
      </c>
    </row>
    <row r="506" spans="1:15" ht="15" customHeight="1" x14ac:dyDescent="0.3">
      <c r="A506" s="67" t="s">
        <v>17</v>
      </c>
      <c r="B506" s="10" t="s">
        <v>1274</v>
      </c>
      <c r="C506" s="68" t="s">
        <v>172</v>
      </c>
      <c r="D506" s="68" t="s">
        <v>1322</v>
      </c>
      <c r="E506" s="68" t="s">
        <v>19</v>
      </c>
      <c r="F506" s="69">
        <v>45895.868750000001</v>
      </c>
      <c r="G506" s="68">
        <v>1800</v>
      </c>
      <c r="H506" s="68" t="s">
        <v>14</v>
      </c>
      <c r="I506" s="79">
        <v>46006.838819444441</v>
      </c>
      <c r="J506" s="68">
        <v>1690</v>
      </c>
      <c r="K506" s="81" t="str">
        <f t="shared" si="21"/>
        <v>OUI</v>
      </c>
      <c r="L506" s="68" t="s">
        <v>16</v>
      </c>
      <c r="M506" s="71" t="s">
        <v>1323</v>
      </c>
      <c r="N506" s="38">
        <v>45952</v>
      </c>
      <c r="O506" s="16" t="str">
        <f t="shared" si="20"/>
        <v>OUI</v>
      </c>
    </row>
    <row r="507" spans="1:15" ht="15" customHeight="1" x14ac:dyDescent="0.3">
      <c r="A507" s="67" t="s">
        <v>17</v>
      </c>
      <c r="B507" s="10" t="s">
        <v>1274</v>
      </c>
      <c r="C507" s="68" t="s">
        <v>172</v>
      </c>
      <c r="D507" s="68" t="s">
        <v>1324</v>
      </c>
      <c r="E507" s="68" t="s">
        <v>19</v>
      </c>
      <c r="F507" s="69">
        <v>45895.87222222222</v>
      </c>
      <c r="G507" s="68">
        <v>1802</v>
      </c>
      <c r="H507" s="68" t="s">
        <v>14</v>
      </c>
      <c r="I507" s="70"/>
      <c r="J507" s="68">
        <v>1691</v>
      </c>
      <c r="K507" s="81" t="str">
        <f t="shared" si="21"/>
        <v/>
      </c>
      <c r="L507" s="68" t="s">
        <v>16</v>
      </c>
      <c r="M507" s="71"/>
      <c r="O507" s="16" t="str">
        <f t="shared" si="20"/>
        <v/>
      </c>
    </row>
    <row r="508" spans="1:15" ht="15" customHeight="1" x14ac:dyDescent="0.3">
      <c r="A508" s="67" t="s">
        <v>17</v>
      </c>
      <c r="B508" s="10" t="s">
        <v>1274</v>
      </c>
      <c r="C508" s="1" t="s">
        <v>172</v>
      </c>
      <c r="D508" s="68" t="s">
        <v>1325</v>
      </c>
      <c r="E508" s="68" t="s">
        <v>19</v>
      </c>
      <c r="F508" s="69">
        <v>45896.209722222222</v>
      </c>
      <c r="G508" s="68">
        <v>1804</v>
      </c>
      <c r="H508" s="68" t="s">
        <v>14</v>
      </c>
      <c r="I508" s="79">
        <v>45951.51153935185</v>
      </c>
      <c r="J508" s="68">
        <v>1692</v>
      </c>
      <c r="K508" s="81" t="str">
        <f t="shared" si="21"/>
        <v>OUI</v>
      </c>
      <c r="L508" s="68" t="s">
        <v>16</v>
      </c>
      <c r="M508" s="71" t="s">
        <v>1326</v>
      </c>
      <c r="N508" s="38">
        <v>45952</v>
      </c>
      <c r="O508" s="16" t="str">
        <f t="shared" si="20"/>
        <v>OUI</v>
      </c>
    </row>
    <row r="509" spans="1:15" ht="15" customHeight="1" x14ac:dyDescent="0.3">
      <c r="A509" s="67" t="s">
        <v>17</v>
      </c>
      <c r="B509" s="10" t="s">
        <v>1274</v>
      </c>
      <c r="C509" s="1" t="s">
        <v>172</v>
      </c>
      <c r="D509" s="68" t="s">
        <v>1327</v>
      </c>
      <c r="E509" s="68" t="s">
        <v>19</v>
      </c>
      <c r="F509" s="69">
        <v>45896.290277777778</v>
      </c>
      <c r="G509" s="68">
        <v>1806</v>
      </c>
      <c r="H509" s="68" t="s">
        <v>14</v>
      </c>
      <c r="I509" s="79">
        <v>45951.509513888886</v>
      </c>
      <c r="J509" s="68">
        <v>1693</v>
      </c>
      <c r="K509" s="81" t="str">
        <f t="shared" si="21"/>
        <v>OUI</v>
      </c>
      <c r="L509" s="68" t="s">
        <v>16</v>
      </c>
      <c r="M509" s="71" t="s">
        <v>1328</v>
      </c>
      <c r="N509" s="38">
        <v>45952</v>
      </c>
      <c r="O509" s="16" t="str">
        <f t="shared" si="20"/>
        <v>OUI</v>
      </c>
    </row>
    <row r="510" spans="1:15" ht="15" customHeight="1" x14ac:dyDescent="0.3">
      <c r="A510" s="67" t="s">
        <v>17</v>
      </c>
      <c r="B510" s="10" t="s">
        <v>1274</v>
      </c>
      <c r="C510" s="68" t="s">
        <v>172</v>
      </c>
      <c r="D510" s="68" t="s">
        <v>1329</v>
      </c>
      <c r="E510" s="68" t="s">
        <v>19</v>
      </c>
      <c r="F510" s="69">
        <v>45896.307638888888</v>
      </c>
      <c r="G510" s="68">
        <v>1808</v>
      </c>
      <c r="H510" s="68" t="s">
        <v>14</v>
      </c>
      <c r="I510" s="79">
        <v>45951.514930555553</v>
      </c>
      <c r="J510" s="68">
        <v>1694</v>
      </c>
      <c r="K510" s="81" t="str">
        <f t="shared" si="21"/>
        <v>OUI</v>
      </c>
      <c r="L510" s="68" t="s">
        <v>16</v>
      </c>
      <c r="M510" s="71" t="s">
        <v>1330</v>
      </c>
      <c r="N510" s="38">
        <v>45952</v>
      </c>
      <c r="O510" s="16" t="str">
        <f t="shared" si="20"/>
        <v>OUI</v>
      </c>
    </row>
    <row r="511" spans="1:15" ht="15" customHeight="1" x14ac:dyDescent="0.3">
      <c r="A511" s="67" t="s">
        <v>34</v>
      </c>
      <c r="B511" s="91" t="s">
        <v>1331</v>
      </c>
      <c r="C511" s="68" t="s">
        <v>172</v>
      </c>
      <c r="D511" s="68" t="s">
        <v>1314</v>
      </c>
      <c r="E511" s="68" t="s">
        <v>38</v>
      </c>
      <c r="F511" s="69">
        <v>45896.344444444447</v>
      </c>
      <c r="G511" s="68">
        <v>1810</v>
      </c>
      <c r="H511" s="68" t="s">
        <v>14</v>
      </c>
      <c r="I511" s="79">
        <v>46029.60434027778</v>
      </c>
      <c r="J511" s="68">
        <v>1695</v>
      </c>
      <c r="K511" s="81" t="str">
        <f t="shared" si="21"/>
        <v>OUI</v>
      </c>
      <c r="L511" s="68" t="s">
        <v>16</v>
      </c>
      <c r="M511" s="71" t="s">
        <v>1315</v>
      </c>
      <c r="O511" s="16" t="str">
        <f t="shared" si="20"/>
        <v>OUI</v>
      </c>
    </row>
    <row r="512" spans="1:15" ht="15" customHeight="1" x14ac:dyDescent="0.3">
      <c r="A512" s="67" t="s">
        <v>17</v>
      </c>
      <c r="B512" s="91" t="s">
        <v>1331</v>
      </c>
      <c r="C512" s="68" t="s">
        <v>172</v>
      </c>
      <c r="D512" s="68" t="s">
        <v>1332</v>
      </c>
      <c r="E512" s="68" t="s">
        <v>19</v>
      </c>
      <c r="F512" s="69">
        <v>45896.656944444447</v>
      </c>
      <c r="G512" s="68">
        <v>1812</v>
      </c>
      <c r="H512" s="68" t="s">
        <v>14</v>
      </c>
      <c r="I512" s="79">
        <v>46029.611620370371</v>
      </c>
      <c r="J512" s="68">
        <v>1696</v>
      </c>
      <c r="K512" s="81" t="str">
        <f t="shared" si="21"/>
        <v>OUI</v>
      </c>
      <c r="L512" s="68" t="s">
        <v>16</v>
      </c>
      <c r="M512" s="71" t="s">
        <v>1333</v>
      </c>
      <c r="O512" s="16" t="str">
        <f t="shared" si="20"/>
        <v>OUI</v>
      </c>
    </row>
    <row r="513" spans="1:15" ht="15" customHeight="1" x14ac:dyDescent="0.3">
      <c r="A513" s="67" t="s">
        <v>17</v>
      </c>
      <c r="B513" s="10" t="s">
        <v>1334</v>
      </c>
      <c r="C513" s="1" t="s">
        <v>93</v>
      </c>
      <c r="D513" s="68" t="s">
        <v>1335</v>
      </c>
      <c r="E513" s="68" t="s">
        <v>19</v>
      </c>
      <c r="F513" s="69">
        <v>45896.740277777775</v>
      </c>
      <c r="G513" s="68">
        <v>1814</v>
      </c>
      <c r="H513" s="68" t="s">
        <v>14</v>
      </c>
      <c r="I513" s="70"/>
      <c r="J513" s="68">
        <v>1697</v>
      </c>
      <c r="K513" s="81" t="str">
        <f t="shared" si="21"/>
        <v/>
      </c>
      <c r="L513" s="68" t="s">
        <v>16</v>
      </c>
      <c r="M513" s="71"/>
      <c r="O513" s="16" t="str">
        <f t="shared" si="20"/>
        <v/>
      </c>
    </row>
    <row r="514" spans="1:15" ht="15" customHeight="1" x14ac:dyDescent="0.3">
      <c r="A514" s="67" t="s">
        <v>17</v>
      </c>
      <c r="B514" s="10" t="s">
        <v>1336</v>
      </c>
      <c r="C514" s="1" t="s">
        <v>63</v>
      </c>
      <c r="D514" s="68" t="s">
        <v>1337</v>
      </c>
      <c r="E514" s="68" t="s">
        <v>19</v>
      </c>
      <c r="F514" s="69">
        <v>45896.745138888888</v>
      </c>
      <c r="G514" s="68">
        <v>1816</v>
      </c>
      <c r="H514" s="68" t="s">
        <v>14</v>
      </c>
      <c r="I514" s="70"/>
      <c r="J514" s="68">
        <v>1698</v>
      </c>
      <c r="K514" s="81" t="str">
        <f t="shared" si="21"/>
        <v/>
      </c>
      <c r="L514" s="68" t="s">
        <v>16</v>
      </c>
      <c r="M514" s="71"/>
      <c r="O514" s="16" t="str">
        <f t="shared" si="20"/>
        <v/>
      </c>
    </row>
    <row r="515" spans="1:15" ht="15" customHeight="1" x14ac:dyDescent="0.3">
      <c r="A515" s="67" t="s">
        <v>17</v>
      </c>
      <c r="B515" s="10" t="s">
        <v>1338</v>
      </c>
      <c r="C515" s="1" t="s">
        <v>93</v>
      </c>
      <c r="D515" s="68" t="s">
        <v>1339</v>
      </c>
      <c r="E515" s="68" t="s">
        <v>19</v>
      </c>
      <c r="F515" s="69">
        <v>45896.779166666667</v>
      </c>
      <c r="G515" s="68">
        <v>1818</v>
      </c>
      <c r="H515" s="68" t="s">
        <v>14</v>
      </c>
      <c r="I515" s="70"/>
      <c r="J515" s="68">
        <v>1699</v>
      </c>
      <c r="K515" s="81" t="str">
        <f t="shared" si="21"/>
        <v/>
      </c>
      <c r="L515" s="68" t="s">
        <v>16</v>
      </c>
      <c r="M515" s="71"/>
      <c r="O515" s="16" t="str">
        <f t="shared" si="20"/>
        <v/>
      </c>
    </row>
    <row r="516" spans="1:15" ht="15" customHeight="1" x14ac:dyDescent="0.3">
      <c r="A516" s="67" t="s">
        <v>17</v>
      </c>
      <c r="B516" s="10" t="s">
        <v>1340</v>
      </c>
      <c r="C516" s="1" t="s">
        <v>93</v>
      </c>
      <c r="D516" s="68" t="s">
        <v>1341</v>
      </c>
      <c r="E516" s="68" t="s">
        <v>19</v>
      </c>
      <c r="F516" s="69">
        <v>45896.809027777781</v>
      </c>
      <c r="G516" s="68">
        <v>1820</v>
      </c>
      <c r="H516" s="68" t="s">
        <v>14</v>
      </c>
      <c r="I516" s="70"/>
      <c r="J516" s="68">
        <v>1700</v>
      </c>
      <c r="K516" s="81" t="str">
        <f t="shared" si="21"/>
        <v/>
      </c>
      <c r="L516" s="68" t="s">
        <v>16</v>
      </c>
      <c r="M516" s="71"/>
      <c r="O516" s="16" t="str">
        <f t="shared" si="20"/>
        <v/>
      </c>
    </row>
    <row r="517" spans="1:15" ht="15" customHeight="1" x14ac:dyDescent="0.3">
      <c r="A517" s="67" t="s">
        <v>17</v>
      </c>
      <c r="B517" s="10" t="s">
        <v>1342</v>
      </c>
      <c r="C517" s="68" t="s">
        <v>63</v>
      </c>
      <c r="D517" s="68" t="s">
        <v>1343</v>
      </c>
      <c r="E517" s="68" t="s">
        <v>19</v>
      </c>
      <c r="F517" s="69">
        <v>45896.817361111112</v>
      </c>
      <c r="G517" s="68">
        <v>1822</v>
      </c>
      <c r="H517" s="68" t="s">
        <v>14</v>
      </c>
      <c r="I517" s="79">
        <v>45931.545543981483</v>
      </c>
      <c r="J517" s="68">
        <v>1701</v>
      </c>
      <c r="K517" s="81" t="str">
        <f t="shared" si="21"/>
        <v>OUI</v>
      </c>
      <c r="L517" s="68" t="s">
        <v>16</v>
      </c>
      <c r="M517" s="71" t="s">
        <v>1344</v>
      </c>
      <c r="N517" s="38">
        <v>45923</v>
      </c>
      <c r="O517" s="16" t="str">
        <f t="shared" si="20"/>
        <v>OUI</v>
      </c>
    </row>
    <row r="518" spans="1:15" ht="15" customHeight="1" x14ac:dyDescent="0.3">
      <c r="A518" s="67" t="s">
        <v>17</v>
      </c>
      <c r="B518" s="10" t="s">
        <v>1345</v>
      </c>
      <c r="C518" s="1" t="s">
        <v>26</v>
      </c>
      <c r="D518" s="68" t="s">
        <v>1346</v>
      </c>
      <c r="E518" s="68" t="s">
        <v>19</v>
      </c>
      <c r="F518" s="69">
        <v>45896.836111111108</v>
      </c>
      <c r="G518" s="68">
        <v>1824</v>
      </c>
      <c r="H518" s="68" t="s">
        <v>14</v>
      </c>
      <c r="I518" s="79">
        <v>45898.624942129631</v>
      </c>
      <c r="J518" s="68">
        <v>1702</v>
      </c>
      <c r="K518" s="81" t="str">
        <f t="shared" si="21"/>
        <v>OUI</v>
      </c>
      <c r="L518" s="68" t="s">
        <v>16</v>
      </c>
      <c r="M518" s="71" t="s">
        <v>1347</v>
      </c>
      <c r="N518" s="38">
        <v>45901</v>
      </c>
      <c r="O518" s="16" t="str">
        <f t="shared" si="20"/>
        <v>OUI</v>
      </c>
    </row>
    <row r="519" spans="1:15" ht="15" customHeight="1" x14ac:dyDescent="0.3">
      <c r="A519" s="67" t="s">
        <v>17</v>
      </c>
      <c r="B519" s="10" t="s">
        <v>1348</v>
      </c>
      <c r="C519" s="1" t="s">
        <v>376</v>
      </c>
      <c r="D519" s="68" t="s">
        <v>1349</v>
      </c>
      <c r="E519" s="68" t="s">
        <v>19</v>
      </c>
      <c r="F519" s="69">
        <v>45896.851388888892</v>
      </c>
      <c r="G519" s="68">
        <v>1826</v>
      </c>
      <c r="H519" s="68" t="s">
        <v>14</v>
      </c>
      <c r="I519" s="70"/>
      <c r="J519" s="68">
        <v>1703</v>
      </c>
      <c r="K519" s="81" t="str">
        <f t="shared" si="21"/>
        <v/>
      </c>
      <c r="L519" s="68" t="s">
        <v>16</v>
      </c>
      <c r="M519" s="71"/>
      <c r="O519" s="16" t="str">
        <f t="shared" si="20"/>
        <v/>
      </c>
    </row>
    <row r="520" spans="1:15" ht="15" customHeight="1" x14ac:dyDescent="0.3">
      <c r="A520" s="67" t="s">
        <v>17</v>
      </c>
      <c r="B520" s="10" t="s">
        <v>1350</v>
      </c>
      <c r="C520" s="1" t="s">
        <v>88</v>
      </c>
      <c r="D520" s="68" t="s">
        <v>1351</v>
      </c>
      <c r="E520" s="68" t="s">
        <v>19</v>
      </c>
      <c r="F520" s="69">
        <v>45896.892361111109</v>
      </c>
      <c r="G520" s="68">
        <v>1828</v>
      </c>
      <c r="H520" s="68" t="s">
        <v>14</v>
      </c>
      <c r="I520" s="70"/>
      <c r="J520" s="68">
        <v>1704</v>
      </c>
      <c r="K520" s="81" t="str">
        <f t="shared" si="21"/>
        <v/>
      </c>
      <c r="L520" s="68" t="s">
        <v>16</v>
      </c>
      <c r="M520" s="71"/>
      <c r="O520" s="16" t="str">
        <f t="shared" si="20"/>
        <v/>
      </c>
    </row>
    <row r="521" spans="1:15" ht="15" customHeight="1" x14ac:dyDescent="0.3">
      <c r="A521" s="67" t="s">
        <v>17</v>
      </c>
      <c r="B521" s="10" t="s">
        <v>1352</v>
      </c>
      <c r="C521" s="1" t="s">
        <v>88</v>
      </c>
      <c r="D521" s="68" t="s">
        <v>1353</v>
      </c>
      <c r="E521" s="68" t="s">
        <v>19</v>
      </c>
      <c r="F521" s="69">
        <v>45896.897222222222</v>
      </c>
      <c r="G521" s="68">
        <v>1830</v>
      </c>
      <c r="H521" s="68" t="s">
        <v>14</v>
      </c>
      <c r="I521" s="79">
        <v>45902.48709490741</v>
      </c>
      <c r="J521" s="68">
        <v>1705</v>
      </c>
      <c r="K521" s="81" t="str">
        <f t="shared" si="21"/>
        <v>OUI</v>
      </c>
      <c r="L521" s="68" t="s">
        <v>16</v>
      </c>
      <c r="M521" s="71" t="s">
        <v>1354</v>
      </c>
      <c r="N521" s="38">
        <v>45899</v>
      </c>
      <c r="O521" s="16" t="str">
        <f t="shared" si="20"/>
        <v>OUI</v>
      </c>
    </row>
    <row r="522" spans="1:15" ht="15" customHeight="1" x14ac:dyDescent="0.3">
      <c r="A522" s="67" t="s">
        <v>17</v>
      </c>
      <c r="B522" s="10" t="s">
        <v>1355</v>
      </c>
      <c r="C522" s="68" t="s">
        <v>88</v>
      </c>
      <c r="D522" s="68" t="s">
        <v>1356</v>
      </c>
      <c r="E522" s="68" t="s">
        <v>19</v>
      </c>
      <c r="F522" s="69">
        <v>45896.905555555553</v>
      </c>
      <c r="G522" s="68">
        <v>1832</v>
      </c>
      <c r="H522" s="68" t="s">
        <v>14</v>
      </c>
      <c r="I522" s="79">
        <v>45898.686469907407</v>
      </c>
      <c r="J522" s="68">
        <v>1706</v>
      </c>
      <c r="K522" s="81" t="str">
        <f t="shared" si="21"/>
        <v>OUI</v>
      </c>
      <c r="L522" s="68" t="s">
        <v>16</v>
      </c>
      <c r="M522" s="71" t="s">
        <v>1357</v>
      </c>
      <c r="N522" s="38">
        <v>45897</v>
      </c>
      <c r="O522" s="16" t="str">
        <f t="shared" si="20"/>
        <v>OUI</v>
      </c>
    </row>
    <row r="523" spans="1:15" ht="15" customHeight="1" x14ac:dyDescent="0.3">
      <c r="A523" s="67" t="s">
        <v>17</v>
      </c>
      <c r="B523" s="10" t="s">
        <v>1358</v>
      </c>
      <c r="C523" s="68" t="s">
        <v>398</v>
      </c>
      <c r="D523" s="68" t="s">
        <v>1359</v>
      </c>
      <c r="E523" s="68" t="s">
        <v>19</v>
      </c>
      <c r="F523" s="69">
        <v>45896.90902777778</v>
      </c>
      <c r="G523" s="68">
        <v>1834</v>
      </c>
      <c r="H523" s="68" t="s">
        <v>14</v>
      </c>
      <c r="I523" s="70"/>
      <c r="J523" s="68">
        <v>1707</v>
      </c>
      <c r="K523" s="81" t="str">
        <f t="shared" si="21"/>
        <v/>
      </c>
      <c r="L523" s="68" t="s">
        <v>16</v>
      </c>
      <c r="M523" s="71"/>
      <c r="O523" s="16" t="str">
        <f t="shared" si="20"/>
        <v/>
      </c>
    </row>
    <row r="524" spans="1:15" ht="15" customHeight="1" x14ac:dyDescent="0.3">
      <c r="A524" s="67" t="s">
        <v>17</v>
      </c>
      <c r="B524" s="10" t="s">
        <v>634</v>
      </c>
      <c r="C524" s="1" t="s">
        <v>88</v>
      </c>
      <c r="D524" s="68" t="s">
        <v>1360</v>
      </c>
      <c r="E524" s="68" t="s">
        <v>19</v>
      </c>
      <c r="F524" s="69">
        <v>45896.915972222225</v>
      </c>
      <c r="G524" s="68">
        <v>1836</v>
      </c>
      <c r="H524" s="68" t="s">
        <v>14</v>
      </c>
      <c r="I524" s="79">
        <v>45902.469606481478</v>
      </c>
      <c r="J524" s="68">
        <v>1708</v>
      </c>
      <c r="K524" s="81" t="str">
        <f t="shared" si="21"/>
        <v>OUI</v>
      </c>
      <c r="L524" s="68" t="s">
        <v>16</v>
      </c>
      <c r="M524" s="71" t="s">
        <v>1361</v>
      </c>
      <c r="N524" s="38">
        <v>45957</v>
      </c>
      <c r="O524" s="16" t="str">
        <f t="shared" ref="O524:O587" si="22">IF(AND(ISBLANK(I524), ISBLANK(N524)), "", "OUI")</f>
        <v>OUI</v>
      </c>
    </row>
    <row r="525" spans="1:15" ht="15" customHeight="1" x14ac:dyDescent="0.3">
      <c r="A525" s="67" t="s">
        <v>17</v>
      </c>
      <c r="B525" s="10" t="s">
        <v>1362</v>
      </c>
      <c r="C525" s="68" t="s">
        <v>398</v>
      </c>
      <c r="D525" s="68" t="s">
        <v>1363</v>
      </c>
      <c r="E525" s="68" t="s">
        <v>19</v>
      </c>
      <c r="F525" s="69">
        <v>45896.958333333336</v>
      </c>
      <c r="G525" s="68">
        <v>1838</v>
      </c>
      <c r="H525" s="68" t="s">
        <v>14</v>
      </c>
      <c r="I525" s="79">
        <v>45931.561435185184</v>
      </c>
      <c r="J525" s="68">
        <v>1709</v>
      </c>
      <c r="K525" s="81" t="str">
        <f t="shared" si="21"/>
        <v>OUI</v>
      </c>
      <c r="L525" s="68" t="s">
        <v>16</v>
      </c>
      <c r="M525" s="71" t="s">
        <v>1364</v>
      </c>
      <c r="N525" s="38">
        <v>45902</v>
      </c>
      <c r="O525" s="16" t="str">
        <f t="shared" si="22"/>
        <v>OUI</v>
      </c>
    </row>
    <row r="526" spans="1:15" ht="15" customHeight="1" x14ac:dyDescent="0.3">
      <c r="A526" s="67" t="s">
        <v>17</v>
      </c>
      <c r="B526" s="10" t="s">
        <v>1274</v>
      </c>
      <c r="C526" s="1" t="s">
        <v>172</v>
      </c>
      <c r="D526" s="68" t="s">
        <v>1365</v>
      </c>
      <c r="E526" s="68" t="s">
        <v>19</v>
      </c>
      <c r="F526" s="69">
        <v>45897.297222222223</v>
      </c>
      <c r="G526" s="68">
        <v>1840</v>
      </c>
      <c r="H526" s="68" t="s">
        <v>14</v>
      </c>
      <c r="I526" s="79">
        <v>45951.516296296293</v>
      </c>
      <c r="J526" s="68">
        <v>1710</v>
      </c>
      <c r="K526" s="81" t="str">
        <f t="shared" si="21"/>
        <v>OUI</v>
      </c>
      <c r="L526" s="68" t="s">
        <v>16</v>
      </c>
      <c r="M526" s="71" t="s">
        <v>1366</v>
      </c>
      <c r="N526" s="38">
        <v>45952</v>
      </c>
      <c r="O526" s="16" t="str">
        <f t="shared" si="22"/>
        <v>OUI</v>
      </c>
    </row>
    <row r="527" spans="1:15" ht="15" customHeight="1" x14ac:dyDescent="0.3">
      <c r="A527" s="67" t="s">
        <v>17</v>
      </c>
      <c r="B527" s="10" t="s">
        <v>1367</v>
      </c>
      <c r="C527" s="68" t="s">
        <v>259</v>
      </c>
      <c r="D527" s="68" t="s">
        <v>1368</v>
      </c>
      <c r="E527" s="68" t="s">
        <v>19</v>
      </c>
      <c r="F527" s="69">
        <v>45897.342361111114</v>
      </c>
      <c r="G527" s="68">
        <v>1842</v>
      </c>
      <c r="H527" s="68" t="s">
        <v>14</v>
      </c>
      <c r="I527" s="70"/>
      <c r="J527" s="68">
        <v>1711</v>
      </c>
      <c r="K527" s="81" t="str">
        <f t="shared" si="21"/>
        <v/>
      </c>
      <c r="L527" s="68" t="s">
        <v>16</v>
      </c>
      <c r="M527" s="71"/>
      <c r="O527" s="16" t="str">
        <f t="shared" si="22"/>
        <v/>
      </c>
    </row>
    <row r="528" spans="1:15" ht="15" customHeight="1" x14ac:dyDescent="0.3">
      <c r="A528" s="67" t="s">
        <v>17</v>
      </c>
      <c r="B528" s="10" t="s">
        <v>1369</v>
      </c>
      <c r="C528" s="68" t="s">
        <v>66</v>
      </c>
      <c r="D528" s="68" t="s">
        <v>1370</v>
      </c>
      <c r="E528" s="68" t="s">
        <v>19</v>
      </c>
      <c r="F528" s="69">
        <v>45897.37222222222</v>
      </c>
      <c r="G528" s="68">
        <v>1844</v>
      </c>
      <c r="H528" s="68" t="s">
        <v>14</v>
      </c>
      <c r="I528" s="70"/>
      <c r="J528" s="68">
        <v>1712</v>
      </c>
      <c r="K528" s="81" t="str">
        <f t="shared" si="21"/>
        <v/>
      </c>
      <c r="L528" s="68" t="s">
        <v>16</v>
      </c>
      <c r="M528" s="71"/>
      <c r="O528" s="16" t="str">
        <f t="shared" si="22"/>
        <v/>
      </c>
    </row>
    <row r="529" spans="1:15" ht="15" customHeight="1" x14ac:dyDescent="0.3">
      <c r="A529" s="67" t="s">
        <v>17</v>
      </c>
      <c r="B529" s="10" t="s">
        <v>1371</v>
      </c>
      <c r="C529" s="68" t="s">
        <v>63</v>
      </c>
      <c r="D529" s="68" t="s">
        <v>1372</v>
      </c>
      <c r="E529" s="68" t="s">
        <v>19</v>
      </c>
      <c r="F529" s="69">
        <v>45897.372916666667</v>
      </c>
      <c r="G529" s="68">
        <v>1846</v>
      </c>
      <c r="H529" s="68" t="s">
        <v>14</v>
      </c>
      <c r="I529" s="79">
        <v>45911.635439814818</v>
      </c>
      <c r="J529" s="68">
        <v>1713</v>
      </c>
      <c r="K529" s="81" t="str">
        <f t="shared" si="21"/>
        <v>OUI</v>
      </c>
      <c r="L529" s="68" t="s">
        <v>16</v>
      </c>
      <c r="M529" s="71" t="s">
        <v>1373</v>
      </c>
      <c r="N529" s="38">
        <v>45897</v>
      </c>
      <c r="O529" s="16" t="str">
        <f t="shared" si="22"/>
        <v>OUI</v>
      </c>
    </row>
    <row r="530" spans="1:15" ht="15" customHeight="1" x14ac:dyDescent="0.3">
      <c r="A530" s="67" t="s">
        <v>17</v>
      </c>
      <c r="B530" s="10" t="s">
        <v>1274</v>
      </c>
      <c r="C530" s="68" t="s">
        <v>172</v>
      </c>
      <c r="D530" s="68" t="s">
        <v>1374</v>
      </c>
      <c r="E530" s="68" t="s">
        <v>19</v>
      </c>
      <c r="F530" s="69">
        <v>45897.398611111108</v>
      </c>
      <c r="G530" s="68">
        <v>1848</v>
      </c>
      <c r="H530" s="68" t="s">
        <v>14</v>
      </c>
      <c r="I530" s="79">
        <v>45951.502858796295</v>
      </c>
      <c r="J530" s="68">
        <v>1714</v>
      </c>
      <c r="K530" s="81" t="str">
        <f t="shared" si="21"/>
        <v>OUI</v>
      </c>
      <c r="L530" s="68" t="s">
        <v>16</v>
      </c>
      <c r="M530" s="71" t="s">
        <v>1375</v>
      </c>
      <c r="N530" s="38">
        <v>45952</v>
      </c>
      <c r="O530" s="16" t="str">
        <f t="shared" si="22"/>
        <v>OUI</v>
      </c>
    </row>
    <row r="531" spans="1:15" ht="15" customHeight="1" x14ac:dyDescent="0.3">
      <c r="A531" s="67" t="s">
        <v>10</v>
      </c>
      <c r="B531" s="10" t="s">
        <v>1376</v>
      </c>
      <c r="C531" s="68" t="s">
        <v>376</v>
      </c>
      <c r="D531" s="68" t="s">
        <v>1377</v>
      </c>
      <c r="E531" s="68" t="s">
        <v>13</v>
      </c>
      <c r="F531" s="69">
        <v>45897.46875</v>
      </c>
      <c r="G531" s="68">
        <v>1850</v>
      </c>
      <c r="H531" s="68" t="s">
        <v>14</v>
      </c>
      <c r="I531" s="70"/>
      <c r="J531" s="68">
        <v>1715</v>
      </c>
      <c r="K531" s="81" t="str">
        <f t="shared" si="21"/>
        <v/>
      </c>
      <c r="L531" s="68" t="s">
        <v>16</v>
      </c>
      <c r="M531" s="71"/>
      <c r="O531" s="16" t="str">
        <f t="shared" si="22"/>
        <v/>
      </c>
    </row>
    <row r="532" spans="1:15" ht="15" customHeight="1" x14ac:dyDescent="0.3">
      <c r="A532" s="67" t="s">
        <v>17</v>
      </c>
      <c r="B532" s="10" t="s">
        <v>1378</v>
      </c>
      <c r="C532" s="1" t="s">
        <v>361</v>
      </c>
      <c r="D532" s="68" t="s">
        <v>1379</v>
      </c>
      <c r="E532" s="68" t="s">
        <v>19</v>
      </c>
      <c r="F532" s="69">
        <v>45897.472222222219</v>
      </c>
      <c r="G532" s="68">
        <v>1852</v>
      </c>
      <c r="H532" s="68" t="s">
        <v>14</v>
      </c>
      <c r="I532" s="79">
        <v>45905.40421296296</v>
      </c>
      <c r="J532" s="68">
        <v>1716</v>
      </c>
      <c r="K532" s="81" t="str">
        <f t="shared" si="21"/>
        <v>OUI</v>
      </c>
      <c r="L532" s="68" t="s">
        <v>16</v>
      </c>
      <c r="M532" s="71" t="s">
        <v>1380</v>
      </c>
      <c r="N532" s="38">
        <v>45902</v>
      </c>
      <c r="O532" s="16" t="str">
        <f t="shared" si="22"/>
        <v>OUI</v>
      </c>
    </row>
    <row r="533" spans="1:15" ht="15" customHeight="1" x14ac:dyDescent="0.3">
      <c r="A533" s="67" t="s">
        <v>17</v>
      </c>
      <c r="B533" s="10" t="s">
        <v>1381</v>
      </c>
      <c r="C533" s="68" t="s">
        <v>66</v>
      </c>
      <c r="D533" s="68" t="s">
        <v>1382</v>
      </c>
      <c r="E533" s="68" t="s">
        <v>19</v>
      </c>
      <c r="F533" s="69">
        <v>45897.478472222225</v>
      </c>
      <c r="G533" s="68">
        <v>1854</v>
      </c>
      <c r="H533" s="68" t="s">
        <v>14</v>
      </c>
      <c r="I533" s="79">
        <v>45911.556111111109</v>
      </c>
      <c r="J533" s="68">
        <v>1717</v>
      </c>
      <c r="K533" s="81" t="str">
        <f t="shared" si="21"/>
        <v>OUI</v>
      </c>
      <c r="L533" s="68" t="s">
        <v>16</v>
      </c>
      <c r="M533" s="71" t="s">
        <v>1383</v>
      </c>
      <c r="N533" s="38">
        <v>45897</v>
      </c>
      <c r="O533" s="16" t="str">
        <f t="shared" si="22"/>
        <v>OUI</v>
      </c>
    </row>
    <row r="534" spans="1:15" ht="15" customHeight="1" x14ac:dyDescent="0.3">
      <c r="A534" s="67" t="s">
        <v>17</v>
      </c>
      <c r="B534" s="10" t="s">
        <v>1384</v>
      </c>
      <c r="C534" s="1" t="s">
        <v>36</v>
      </c>
      <c r="D534" s="68" t="s">
        <v>1385</v>
      </c>
      <c r="E534" s="68" t="s">
        <v>19</v>
      </c>
      <c r="F534" s="69">
        <v>45897.493750000001</v>
      </c>
      <c r="G534" s="68">
        <v>1856</v>
      </c>
      <c r="H534" s="68" t="s">
        <v>14</v>
      </c>
      <c r="I534" s="70"/>
      <c r="J534" s="68">
        <v>1718</v>
      </c>
      <c r="K534" s="81" t="str">
        <f t="shared" si="21"/>
        <v/>
      </c>
      <c r="L534" s="68" t="s">
        <v>16</v>
      </c>
      <c r="M534" s="71"/>
      <c r="O534" s="16" t="str">
        <f t="shared" si="22"/>
        <v/>
      </c>
    </row>
    <row r="535" spans="1:15" ht="15" customHeight="1" x14ac:dyDescent="0.3">
      <c r="A535" s="67" t="s">
        <v>17</v>
      </c>
      <c r="B535" s="10" t="s">
        <v>1386</v>
      </c>
      <c r="C535" s="1" t="s">
        <v>63</v>
      </c>
      <c r="D535" s="68" t="s">
        <v>1387</v>
      </c>
      <c r="E535" s="68" t="s">
        <v>19</v>
      </c>
      <c r="F535" s="69">
        <v>45897.520138888889</v>
      </c>
      <c r="G535" s="68">
        <v>1858</v>
      </c>
      <c r="H535" s="68" t="s">
        <v>14</v>
      </c>
      <c r="I535" s="79">
        <v>45931.577662037038</v>
      </c>
      <c r="J535" s="68">
        <v>1719</v>
      </c>
      <c r="K535" s="81" t="str">
        <f t="shared" si="21"/>
        <v>OUI</v>
      </c>
      <c r="L535" s="68" t="s">
        <v>16</v>
      </c>
      <c r="M535" s="71" t="s">
        <v>1388</v>
      </c>
      <c r="N535" s="38">
        <v>45903</v>
      </c>
      <c r="O535" s="16" t="str">
        <f t="shared" si="22"/>
        <v>OUI</v>
      </c>
    </row>
    <row r="536" spans="1:15" ht="15" customHeight="1" x14ac:dyDescent="0.3">
      <c r="A536" s="72" t="s">
        <v>17</v>
      </c>
      <c r="B536" s="10" t="s">
        <v>1389</v>
      </c>
      <c r="C536" s="73" t="s">
        <v>1390</v>
      </c>
      <c r="D536" s="73" t="s">
        <v>1391</v>
      </c>
      <c r="E536" s="73" t="s">
        <v>19</v>
      </c>
      <c r="F536" s="74">
        <v>45897.52847222222</v>
      </c>
      <c r="G536" s="73">
        <v>1860</v>
      </c>
      <c r="H536" s="73" t="s">
        <v>14</v>
      </c>
      <c r="I536" s="75"/>
      <c r="J536" s="73">
        <v>1720</v>
      </c>
      <c r="K536" s="81" t="str">
        <f t="shared" si="21"/>
        <v/>
      </c>
      <c r="L536" s="73" t="s">
        <v>16</v>
      </c>
      <c r="M536" s="76"/>
      <c r="O536" s="16" t="str">
        <f t="shared" si="22"/>
        <v/>
      </c>
    </row>
    <row r="537" spans="1:15" ht="15" customHeight="1" x14ac:dyDescent="0.3">
      <c r="A537" s="67" t="s">
        <v>17</v>
      </c>
      <c r="B537" s="10" t="s">
        <v>1392</v>
      </c>
      <c r="C537" s="68" t="s">
        <v>66</v>
      </c>
      <c r="D537" s="68" t="s">
        <v>1393</v>
      </c>
      <c r="E537" s="68" t="s">
        <v>19</v>
      </c>
      <c r="F537" s="69">
        <v>45897.645138888889</v>
      </c>
      <c r="G537" s="68">
        <v>1862</v>
      </c>
      <c r="H537" s="68" t="s">
        <v>14</v>
      </c>
      <c r="I537" s="79">
        <v>45953.47797453704</v>
      </c>
      <c r="J537" s="68">
        <v>1721</v>
      </c>
      <c r="K537" s="81" t="str">
        <f t="shared" si="21"/>
        <v>OUI</v>
      </c>
      <c r="L537" s="68" t="s">
        <v>16</v>
      </c>
      <c r="M537" s="76" t="s">
        <v>1394</v>
      </c>
      <c r="N537" s="38">
        <v>45952</v>
      </c>
      <c r="O537" s="16" t="str">
        <f t="shared" si="22"/>
        <v>OUI</v>
      </c>
    </row>
    <row r="538" spans="1:15" ht="15" customHeight="1" x14ac:dyDescent="0.3">
      <c r="A538" s="67" t="s">
        <v>17</v>
      </c>
      <c r="B538" s="10" t="s">
        <v>1395</v>
      </c>
      <c r="C538" s="1" t="s">
        <v>93</v>
      </c>
      <c r="D538" s="68" t="s">
        <v>1396</v>
      </c>
      <c r="E538" s="68" t="s">
        <v>19</v>
      </c>
      <c r="F538" s="69">
        <v>45897.833333333336</v>
      </c>
      <c r="G538" s="68">
        <v>1864</v>
      </c>
      <c r="H538" s="68" t="s">
        <v>14</v>
      </c>
      <c r="I538" s="70"/>
      <c r="J538" s="68">
        <v>1722</v>
      </c>
      <c r="K538" s="81" t="str">
        <f t="shared" si="21"/>
        <v/>
      </c>
      <c r="L538" s="68" t="s">
        <v>16</v>
      </c>
      <c r="M538" s="71"/>
      <c r="O538" s="16" t="str">
        <f t="shared" si="22"/>
        <v/>
      </c>
    </row>
    <row r="539" spans="1:15" ht="15" customHeight="1" x14ac:dyDescent="0.3">
      <c r="A539" s="67" t="s">
        <v>17</v>
      </c>
      <c r="B539" s="10" t="s">
        <v>1397</v>
      </c>
      <c r="C539" s="1" t="s">
        <v>172</v>
      </c>
      <c r="D539" s="68" t="s">
        <v>1398</v>
      </c>
      <c r="E539" s="68" t="s">
        <v>19</v>
      </c>
      <c r="F539" s="69">
        <v>45898.197222222225</v>
      </c>
      <c r="G539" s="68">
        <v>1866</v>
      </c>
      <c r="H539" s="68" t="s">
        <v>14</v>
      </c>
      <c r="I539" s="79">
        <v>45951.517233796294</v>
      </c>
      <c r="J539" s="68">
        <v>1723</v>
      </c>
      <c r="K539" s="81" t="str">
        <f t="shared" si="21"/>
        <v>OUI</v>
      </c>
      <c r="L539" s="68" t="s">
        <v>16</v>
      </c>
      <c r="M539" s="71" t="s">
        <v>1399</v>
      </c>
      <c r="N539" s="38">
        <v>45952</v>
      </c>
      <c r="O539" s="16" t="str">
        <f t="shared" si="22"/>
        <v>OUI</v>
      </c>
    </row>
    <row r="540" spans="1:15" ht="15" customHeight="1" x14ac:dyDescent="0.3">
      <c r="A540" s="67" t="s">
        <v>17</v>
      </c>
      <c r="B540" s="10" t="s">
        <v>1400</v>
      </c>
      <c r="C540" s="68" t="s">
        <v>184</v>
      </c>
      <c r="D540" s="68" t="s">
        <v>1401</v>
      </c>
      <c r="E540" s="68" t="s">
        <v>19</v>
      </c>
      <c r="F540" s="69">
        <v>45898.370833333334</v>
      </c>
      <c r="G540" s="68">
        <v>1868</v>
      </c>
      <c r="H540" s="68" t="s">
        <v>14</v>
      </c>
      <c r="I540" s="79">
        <v>45953.463148148148</v>
      </c>
      <c r="J540" s="68">
        <v>1724</v>
      </c>
      <c r="K540" s="81" t="str">
        <f t="shared" si="21"/>
        <v>OUI</v>
      </c>
      <c r="L540" s="68" t="s">
        <v>16</v>
      </c>
      <c r="M540" s="71" t="s">
        <v>1402</v>
      </c>
      <c r="O540" s="16" t="str">
        <f t="shared" si="22"/>
        <v>OUI</v>
      </c>
    </row>
    <row r="541" spans="1:15" ht="15" customHeight="1" x14ac:dyDescent="0.3">
      <c r="A541" s="67" t="s">
        <v>17</v>
      </c>
      <c r="B541" s="10" t="s">
        <v>1403</v>
      </c>
      <c r="C541" s="1" t="s">
        <v>93</v>
      </c>
      <c r="D541" s="68" t="s">
        <v>1404</v>
      </c>
      <c r="E541" s="68" t="s">
        <v>19</v>
      </c>
      <c r="F541" s="69">
        <v>45898.395138888889</v>
      </c>
      <c r="G541" s="68">
        <v>1870</v>
      </c>
      <c r="H541" s="68" t="s">
        <v>14</v>
      </c>
      <c r="I541" s="79">
        <v>45911.633587962962</v>
      </c>
      <c r="J541" s="68">
        <v>1725</v>
      </c>
      <c r="K541" s="81" t="str">
        <f t="shared" si="21"/>
        <v>OUI</v>
      </c>
      <c r="L541" s="68" t="s">
        <v>16</v>
      </c>
      <c r="M541" s="71" t="s">
        <v>1405</v>
      </c>
      <c r="N541" s="38">
        <v>45899</v>
      </c>
      <c r="O541" s="16" t="str">
        <f t="shared" si="22"/>
        <v>OUI</v>
      </c>
    </row>
    <row r="542" spans="1:15" ht="15" customHeight="1" x14ac:dyDescent="0.3">
      <c r="A542" s="67" t="s">
        <v>17</v>
      </c>
      <c r="B542" s="10" t="s">
        <v>1406</v>
      </c>
      <c r="C542" s="68" t="s">
        <v>259</v>
      </c>
      <c r="D542" s="68" t="s">
        <v>1407</v>
      </c>
      <c r="E542" s="68" t="s">
        <v>19</v>
      </c>
      <c r="F542" s="69">
        <v>45898.4375</v>
      </c>
      <c r="G542" s="68">
        <v>1872</v>
      </c>
      <c r="H542" s="68" t="s">
        <v>14</v>
      </c>
      <c r="I542" s="70"/>
      <c r="J542" s="68">
        <v>1726</v>
      </c>
      <c r="K542" s="81" t="str">
        <f t="shared" si="21"/>
        <v/>
      </c>
      <c r="L542" s="68" t="s">
        <v>16</v>
      </c>
      <c r="M542" s="71"/>
      <c r="O542" s="16" t="str">
        <f t="shared" si="22"/>
        <v/>
      </c>
    </row>
    <row r="543" spans="1:15" ht="15" customHeight="1" x14ac:dyDescent="0.3">
      <c r="A543" s="67" t="s">
        <v>17</v>
      </c>
      <c r="B543" s="10" t="s">
        <v>1408</v>
      </c>
      <c r="C543" s="68" t="s">
        <v>88</v>
      </c>
      <c r="D543" s="68" t="s">
        <v>1409</v>
      </c>
      <c r="E543" s="68" t="s">
        <v>19</v>
      </c>
      <c r="F543" s="69">
        <v>45899.015972222223</v>
      </c>
      <c r="G543" s="68">
        <v>1874</v>
      </c>
      <c r="H543" s="68" t="s">
        <v>14</v>
      </c>
      <c r="I543" s="70"/>
      <c r="J543" s="68">
        <v>1727</v>
      </c>
      <c r="K543" s="81" t="str">
        <f t="shared" si="21"/>
        <v/>
      </c>
      <c r="L543" s="68" t="s">
        <v>16</v>
      </c>
      <c r="M543" s="71"/>
      <c r="O543" s="16" t="str">
        <f t="shared" si="22"/>
        <v/>
      </c>
    </row>
    <row r="544" spans="1:15" ht="15" customHeight="1" x14ac:dyDescent="0.3">
      <c r="A544" s="67" t="s">
        <v>17</v>
      </c>
      <c r="B544" s="10" t="s">
        <v>1410</v>
      </c>
      <c r="C544" s="68" t="s">
        <v>88</v>
      </c>
      <c r="D544" s="68" t="s">
        <v>1411</v>
      </c>
      <c r="E544" s="68" t="s">
        <v>19</v>
      </c>
      <c r="F544" s="69">
        <v>45899.326388888891</v>
      </c>
      <c r="G544" s="68">
        <v>1876</v>
      </c>
      <c r="H544" s="68" t="s">
        <v>14</v>
      </c>
      <c r="I544" s="70"/>
      <c r="J544" s="68">
        <v>1728</v>
      </c>
      <c r="K544" s="81" t="str">
        <f t="shared" si="21"/>
        <v/>
      </c>
      <c r="L544" s="68" t="s">
        <v>16</v>
      </c>
      <c r="M544" s="71"/>
      <c r="O544" s="16" t="str">
        <f t="shared" si="22"/>
        <v/>
      </c>
    </row>
    <row r="545" spans="1:15" ht="15" customHeight="1" x14ac:dyDescent="0.3">
      <c r="A545" s="67" t="s">
        <v>17</v>
      </c>
      <c r="B545" s="10" t="s">
        <v>1412</v>
      </c>
      <c r="C545" s="1" t="s">
        <v>63</v>
      </c>
      <c r="D545" s="68" t="s">
        <v>1413</v>
      </c>
      <c r="E545" s="68" t="s">
        <v>19</v>
      </c>
      <c r="F545" s="69">
        <v>45899.972916666666</v>
      </c>
      <c r="G545" s="68">
        <v>1878</v>
      </c>
      <c r="H545" s="68" t="s">
        <v>14</v>
      </c>
      <c r="I545" s="79">
        <v>45931.557754629626</v>
      </c>
      <c r="J545" s="68">
        <v>1729</v>
      </c>
      <c r="K545" s="81" t="str">
        <f t="shared" si="21"/>
        <v>OUI</v>
      </c>
      <c r="L545" s="68" t="s">
        <v>16</v>
      </c>
      <c r="M545" s="71" t="s">
        <v>1414</v>
      </c>
      <c r="N545" s="38">
        <v>45912</v>
      </c>
      <c r="O545" s="16" t="str">
        <f t="shared" si="22"/>
        <v>OUI</v>
      </c>
    </row>
    <row r="546" spans="1:15" ht="15" customHeight="1" x14ac:dyDescent="0.3">
      <c r="A546" s="72" t="s">
        <v>17</v>
      </c>
      <c r="B546" s="10" t="s">
        <v>1415</v>
      </c>
      <c r="C546" s="1" t="s">
        <v>63</v>
      </c>
      <c r="D546" s="73" t="s">
        <v>1416</v>
      </c>
      <c r="E546" s="73" t="s">
        <v>19</v>
      </c>
      <c r="F546" s="74">
        <v>45900.868750000001</v>
      </c>
      <c r="G546" s="73">
        <v>1880</v>
      </c>
      <c r="H546" s="73" t="s">
        <v>14</v>
      </c>
      <c r="I546" s="75"/>
      <c r="J546" s="73">
        <v>1730</v>
      </c>
      <c r="K546" s="81" t="str">
        <f t="shared" si="21"/>
        <v/>
      </c>
      <c r="L546" s="73" t="s">
        <v>16</v>
      </c>
      <c r="M546" s="76"/>
      <c r="O546" s="16" t="str">
        <f t="shared" si="22"/>
        <v/>
      </c>
    </row>
    <row r="547" spans="1:15" ht="15" customHeight="1" x14ac:dyDescent="0.3">
      <c r="A547" s="67" t="s">
        <v>17</v>
      </c>
      <c r="B547" s="10" t="s">
        <v>1417</v>
      </c>
      <c r="C547" s="68" t="s">
        <v>294</v>
      </c>
      <c r="D547" s="68" t="s">
        <v>1418</v>
      </c>
      <c r="E547" s="68" t="s">
        <v>19</v>
      </c>
      <c r="F547" s="69">
        <v>45901.448611111111</v>
      </c>
      <c r="G547" s="68">
        <v>1882</v>
      </c>
      <c r="H547" s="68" t="s">
        <v>14</v>
      </c>
      <c r="I547" s="70"/>
      <c r="J547" s="68">
        <v>1731</v>
      </c>
      <c r="K547" s="81" t="str">
        <f t="shared" si="21"/>
        <v/>
      </c>
      <c r="L547" s="68" t="s">
        <v>16</v>
      </c>
      <c r="M547" s="71"/>
      <c r="O547" s="16" t="str">
        <f t="shared" si="22"/>
        <v/>
      </c>
    </row>
    <row r="548" spans="1:15" ht="15" customHeight="1" x14ac:dyDescent="0.3">
      <c r="A548" s="72" t="s">
        <v>209</v>
      </c>
      <c r="B548" s="90" t="s">
        <v>1419</v>
      </c>
      <c r="C548" s="73" t="s">
        <v>109</v>
      </c>
      <c r="D548" s="73" t="s">
        <v>1420</v>
      </c>
      <c r="E548" s="73" t="s">
        <v>57</v>
      </c>
      <c r="F548" s="74">
        <v>45901.470138888886</v>
      </c>
      <c r="G548" s="73">
        <v>1884</v>
      </c>
      <c r="H548" s="73" t="s">
        <v>14</v>
      </c>
      <c r="I548" s="80">
        <v>46107.669027777774</v>
      </c>
      <c r="J548" s="73">
        <v>1732</v>
      </c>
      <c r="K548" s="81" t="str">
        <f t="shared" si="21"/>
        <v>OUI</v>
      </c>
      <c r="L548" s="73" t="s">
        <v>16</v>
      </c>
      <c r="M548" s="76" t="s">
        <v>1421</v>
      </c>
      <c r="N548" s="38">
        <v>46056</v>
      </c>
      <c r="O548" s="16" t="str">
        <f t="shared" si="22"/>
        <v>OUI</v>
      </c>
    </row>
    <row r="549" spans="1:15" ht="15" customHeight="1" x14ac:dyDescent="0.3">
      <c r="A549" s="72" t="s">
        <v>17</v>
      </c>
      <c r="B549" s="10" t="s">
        <v>880</v>
      </c>
      <c r="C549" s="73" t="s">
        <v>26</v>
      </c>
      <c r="D549" s="73" t="s">
        <v>1422</v>
      </c>
      <c r="E549" s="73" t="s">
        <v>19</v>
      </c>
      <c r="F549" s="74">
        <v>45903.029166666667</v>
      </c>
      <c r="G549" s="73">
        <v>1886</v>
      </c>
      <c r="H549" s="73" t="s">
        <v>14</v>
      </c>
      <c r="I549" s="80">
        <v>45931.580138888887</v>
      </c>
      <c r="J549" s="73">
        <v>1733</v>
      </c>
      <c r="K549" s="81" t="str">
        <f t="shared" si="21"/>
        <v>OUI</v>
      </c>
      <c r="L549" s="73" t="s">
        <v>16</v>
      </c>
      <c r="M549" s="76" t="s">
        <v>1423</v>
      </c>
      <c r="N549" s="38">
        <v>45912</v>
      </c>
      <c r="O549" s="16" t="str">
        <f t="shared" si="22"/>
        <v>OUI</v>
      </c>
    </row>
    <row r="550" spans="1:15" ht="15" customHeight="1" x14ac:dyDescent="0.3">
      <c r="A550" s="67" t="s">
        <v>99</v>
      </c>
      <c r="B550" s="10" t="s">
        <v>1424</v>
      </c>
      <c r="C550" s="1" t="s">
        <v>361</v>
      </c>
      <c r="D550" s="68" t="s">
        <v>1425</v>
      </c>
      <c r="E550" s="68" t="s">
        <v>13</v>
      </c>
      <c r="F550" s="69">
        <v>45903.614583333336</v>
      </c>
      <c r="G550" s="68">
        <v>1888</v>
      </c>
      <c r="H550" s="68" t="s">
        <v>14</v>
      </c>
      <c r="I550" s="79">
        <v>45905.381944444445</v>
      </c>
      <c r="J550" s="68">
        <v>1734</v>
      </c>
      <c r="K550" s="81" t="str">
        <f t="shared" si="21"/>
        <v>OUI</v>
      </c>
      <c r="L550" s="68" t="s">
        <v>16</v>
      </c>
      <c r="M550" s="71" t="s">
        <v>1426</v>
      </c>
      <c r="N550" s="38">
        <v>45704</v>
      </c>
      <c r="O550" s="16" t="str">
        <f t="shared" si="22"/>
        <v>OUI</v>
      </c>
    </row>
    <row r="551" spans="1:15" ht="15" customHeight="1" x14ac:dyDescent="0.3">
      <c r="A551" s="67" t="s">
        <v>17</v>
      </c>
      <c r="B551" s="10" t="s">
        <v>1274</v>
      </c>
      <c r="C551" s="68" t="s">
        <v>172</v>
      </c>
      <c r="D551" s="68" t="s">
        <v>1427</v>
      </c>
      <c r="E551" s="68" t="s">
        <v>19</v>
      </c>
      <c r="F551" s="69">
        <v>45903.757638888892</v>
      </c>
      <c r="G551" s="68">
        <v>1890</v>
      </c>
      <c r="H551" s="68" t="s">
        <v>14</v>
      </c>
      <c r="I551" s="79">
        <v>45951.51803240741</v>
      </c>
      <c r="J551" s="68">
        <v>1735</v>
      </c>
      <c r="K551" s="81" t="str">
        <f t="shared" si="21"/>
        <v>OUI</v>
      </c>
      <c r="L551" s="68" t="s">
        <v>16</v>
      </c>
      <c r="M551" s="71" t="s">
        <v>1428</v>
      </c>
      <c r="N551" s="38">
        <v>45952</v>
      </c>
      <c r="O551" s="16" t="str">
        <f t="shared" si="22"/>
        <v>OUI</v>
      </c>
    </row>
    <row r="552" spans="1:15" ht="15" customHeight="1" x14ac:dyDescent="0.3">
      <c r="A552" s="67" t="s">
        <v>34</v>
      </c>
      <c r="B552" s="91" t="s">
        <v>1429</v>
      </c>
      <c r="C552" s="68" t="s">
        <v>88</v>
      </c>
      <c r="D552" s="68" t="s">
        <v>1430</v>
      </c>
      <c r="E552" s="68" t="s">
        <v>38</v>
      </c>
      <c r="F552" s="69">
        <v>45905.677777777775</v>
      </c>
      <c r="G552" s="68">
        <v>1892</v>
      </c>
      <c r="H552" s="68" t="s">
        <v>14</v>
      </c>
      <c r="I552" s="70"/>
      <c r="J552" s="68">
        <v>1736</v>
      </c>
      <c r="K552" s="81" t="str">
        <f t="shared" si="21"/>
        <v/>
      </c>
      <c r="L552" s="68" t="s">
        <v>16</v>
      </c>
      <c r="M552" s="71"/>
      <c r="O552" s="16" t="str">
        <f t="shared" si="22"/>
        <v/>
      </c>
    </row>
    <row r="553" spans="1:15" ht="15" customHeight="1" x14ac:dyDescent="0.3">
      <c r="A553" s="67" t="s">
        <v>34</v>
      </c>
      <c r="B553" s="91" t="s">
        <v>1431</v>
      </c>
      <c r="C553" s="68" t="s">
        <v>26</v>
      </c>
      <c r="D553" s="68" t="s">
        <v>1432</v>
      </c>
      <c r="E553" s="68" t="s">
        <v>38</v>
      </c>
      <c r="F553" s="69">
        <v>45905.79583333333</v>
      </c>
      <c r="G553" s="68">
        <v>1894</v>
      </c>
      <c r="H553" s="68" t="s">
        <v>14</v>
      </c>
      <c r="I553" s="70"/>
      <c r="J553" s="68">
        <v>1737</v>
      </c>
      <c r="K553" s="81" t="str">
        <f t="shared" si="21"/>
        <v/>
      </c>
      <c r="L553" s="68" t="s">
        <v>16</v>
      </c>
      <c r="M553" s="71"/>
      <c r="O553" s="16" t="str">
        <f t="shared" si="22"/>
        <v/>
      </c>
    </row>
    <row r="554" spans="1:15" ht="15" customHeight="1" x14ac:dyDescent="0.3">
      <c r="A554" s="72" t="s">
        <v>34</v>
      </c>
      <c r="B554" s="90" t="s">
        <v>1433</v>
      </c>
      <c r="C554" s="73" t="s">
        <v>172</v>
      </c>
      <c r="D554" s="73" t="s">
        <v>1434</v>
      </c>
      <c r="E554" s="73" t="s">
        <v>38</v>
      </c>
      <c r="F554" s="74">
        <v>45908.408333333333</v>
      </c>
      <c r="G554" s="73">
        <v>1738</v>
      </c>
      <c r="H554" s="73" t="s">
        <v>24</v>
      </c>
      <c r="I554" s="80">
        <v>45908.410416666666</v>
      </c>
      <c r="J554" s="73">
        <v>1738</v>
      </c>
      <c r="K554" s="81" t="str">
        <f t="shared" si="21"/>
        <v>OUI</v>
      </c>
      <c r="L554" s="73" t="s">
        <v>16</v>
      </c>
      <c r="M554" s="76" t="s">
        <v>1435</v>
      </c>
      <c r="N554" s="38">
        <v>45908</v>
      </c>
      <c r="O554" s="16" t="str">
        <f t="shared" si="22"/>
        <v>OUI</v>
      </c>
    </row>
    <row r="555" spans="1:15" ht="15" customHeight="1" x14ac:dyDescent="0.3">
      <c r="A555" s="67" t="s">
        <v>212</v>
      </c>
      <c r="B555" s="91" t="s">
        <v>1436</v>
      </c>
      <c r="C555" s="68" t="s">
        <v>1437</v>
      </c>
      <c r="D555" s="68" t="s">
        <v>1438</v>
      </c>
      <c r="E555" s="68" t="s">
        <v>27</v>
      </c>
      <c r="F555" s="69">
        <v>45910.589583333334</v>
      </c>
      <c r="G555" s="68">
        <v>1896</v>
      </c>
      <c r="H555" s="68" t="s">
        <v>14</v>
      </c>
      <c r="I555" s="70"/>
      <c r="J555" s="68">
        <v>1739</v>
      </c>
      <c r="K555" s="81" t="str">
        <f t="shared" si="21"/>
        <v/>
      </c>
      <c r="L555" s="68" t="s">
        <v>16</v>
      </c>
      <c r="M555" s="71"/>
      <c r="O555" s="16" t="str">
        <f t="shared" si="22"/>
        <v/>
      </c>
    </row>
    <row r="556" spans="1:15" ht="15" customHeight="1" x14ac:dyDescent="0.3">
      <c r="A556" s="67" t="s">
        <v>34</v>
      </c>
      <c r="B556" s="91" t="s">
        <v>1439</v>
      </c>
      <c r="C556" s="68" t="s">
        <v>172</v>
      </c>
      <c r="D556" s="68" t="s">
        <v>1440</v>
      </c>
      <c r="E556" s="68" t="s">
        <v>38</v>
      </c>
      <c r="F556" s="69">
        <v>45913.590277777781</v>
      </c>
      <c r="G556" s="68">
        <v>1898</v>
      </c>
      <c r="H556" s="68" t="s">
        <v>14</v>
      </c>
      <c r="I556" s="79">
        <v>45945.255567129629</v>
      </c>
      <c r="J556" s="68">
        <v>1740</v>
      </c>
      <c r="K556" s="81" t="str">
        <f t="shared" si="21"/>
        <v>OUI</v>
      </c>
      <c r="L556" s="68" t="s">
        <v>16</v>
      </c>
      <c r="M556" s="71" t="s">
        <v>1441</v>
      </c>
      <c r="N556" s="38">
        <v>45945</v>
      </c>
      <c r="O556" s="16" t="str">
        <f t="shared" si="22"/>
        <v>OUI</v>
      </c>
    </row>
    <row r="557" spans="1:15" ht="15" customHeight="1" x14ac:dyDescent="0.3">
      <c r="A557" s="67" t="s">
        <v>17</v>
      </c>
      <c r="B557" s="10" t="s">
        <v>1442</v>
      </c>
      <c r="C557" s="68" t="s">
        <v>172</v>
      </c>
      <c r="D557" s="68" t="s">
        <v>1443</v>
      </c>
      <c r="E557" s="68" t="s">
        <v>19</v>
      </c>
      <c r="F557" s="69">
        <v>45913.734722222223</v>
      </c>
      <c r="G557" s="68">
        <v>1900</v>
      </c>
      <c r="H557" s="68" t="s">
        <v>14</v>
      </c>
      <c r="I557" s="79">
        <v>46006.783541666664</v>
      </c>
      <c r="J557" s="68">
        <v>1741</v>
      </c>
      <c r="K557" s="81" t="str">
        <f t="shared" si="21"/>
        <v>OUI</v>
      </c>
      <c r="L557" s="68" t="s">
        <v>16</v>
      </c>
      <c r="M557" s="71" t="s">
        <v>1444</v>
      </c>
      <c r="O557" s="16" t="str">
        <f t="shared" si="22"/>
        <v>OUI</v>
      </c>
    </row>
    <row r="558" spans="1:15" ht="15" customHeight="1" x14ac:dyDescent="0.3">
      <c r="A558" s="67" t="s">
        <v>34</v>
      </c>
      <c r="B558" s="91" t="s">
        <v>1445</v>
      </c>
      <c r="C558" s="68" t="s">
        <v>527</v>
      </c>
      <c r="D558" s="68" t="s">
        <v>1446</v>
      </c>
      <c r="E558" s="68" t="s">
        <v>38</v>
      </c>
      <c r="F558" s="69">
        <v>45913.761805555558</v>
      </c>
      <c r="G558" s="68">
        <v>1902</v>
      </c>
      <c r="H558" s="68" t="s">
        <v>14</v>
      </c>
      <c r="I558" s="79">
        <v>46029.636041666665</v>
      </c>
      <c r="J558" s="68">
        <v>1742</v>
      </c>
      <c r="K558" s="81" t="str">
        <f t="shared" si="21"/>
        <v>OUI</v>
      </c>
      <c r="L558" s="68" t="s">
        <v>16</v>
      </c>
      <c r="M558" s="71" t="s">
        <v>1447</v>
      </c>
      <c r="O558" s="16" t="str">
        <f t="shared" si="22"/>
        <v>OUI</v>
      </c>
    </row>
    <row r="559" spans="1:15" ht="15" customHeight="1" x14ac:dyDescent="0.3">
      <c r="A559" s="67" t="s">
        <v>17</v>
      </c>
      <c r="B559" s="10" t="s">
        <v>1448</v>
      </c>
      <c r="C559" s="68" t="s">
        <v>172</v>
      </c>
      <c r="D559" s="68" t="s">
        <v>1449</v>
      </c>
      <c r="E559" s="68" t="s">
        <v>19</v>
      </c>
      <c r="F559" s="69">
        <v>45914.17083333333</v>
      </c>
      <c r="G559" s="68">
        <v>1904</v>
      </c>
      <c r="H559" s="68" t="s">
        <v>14</v>
      </c>
      <c r="I559" s="70"/>
      <c r="J559" s="68">
        <v>1743</v>
      </c>
      <c r="K559" s="81" t="str">
        <f t="shared" si="21"/>
        <v/>
      </c>
      <c r="L559" s="68" t="s">
        <v>16</v>
      </c>
      <c r="M559" s="71"/>
      <c r="O559" s="16" t="str">
        <f t="shared" si="22"/>
        <v/>
      </c>
    </row>
    <row r="560" spans="1:15" ht="15" customHeight="1" x14ac:dyDescent="0.3">
      <c r="A560" s="72" t="s">
        <v>34</v>
      </c>
      <c r="B560" s="90" t="s">
        <v>1450</v>
      </c>
      <c r="C560" s="73" t="s">
        <v>172</v>
      </c>
      <c r="D560" s="73" t="s">
        <v>1449</v>
      </c>
      <c r="E560" s="73" t="s">
        <v>38</v>
      </c>
      <c r="F560" s="74">
        <v>45914.177777777775</v>
      </c>
      <c r="G560" s="73">
        <v>1906</v>
      </c>
      <c r="H560" s="73" t="s">
        <v>14</v>
      </c>
      <c r="I560" s="80">
        <v>46001.559155092589</v>
      </c>
      <c r="J560" s="73">
        <v>1744</v>
      </c>
      <c r="K560" s="81" t="str">
        <f t="shared" si="21"/>
        <v>OUI</v>
      </c>
      <c r="L560" s="73" t="s">
        <v>16</v>
      </c>
      <c r="M560" s="76" t="s">
        <v>1451</v>
      </c>
      <c r="O560" s="16" t="str">
        <f t="shared" si="22"/>
        <v>OUI</v>
      </c>
    </row>
    <row r="561" spans="1:15" ht="15" customHeight="1" x14ac:dyDescent="0.3">
      <c r="A561" s="67" t="s">
        <v>34</v>
      </c>
      <c r="B561" s="91" t="s">
        <v>1452</v>
      </c>
      <c r="C561" s="68" t="s">
        <v>172</v>
      </c>
      <c r="D561" s="68" t="s">
        <v>1453</v>
      </c>
      <c r="E561" s="68" t="s">
        <v>38</v>
      </c>
      <c r="F561" s="69">
        <v>45915.243750000001</v>
      </c>
      <c r="G561" s="68">
        <v>1908</v>
      </c>
      <c r="H561" s="68" t="s">
        <v>14</v>
      </c>
      <c r="I561" s="79">
        <v>46029.605439814812</v>
      </c>
      <c r="J561" s="68">
        <v>1745</v>
      </c>
      <c r="K561" s="81" t="str">
        <f t="shared" si="21"/>
        <v>OUI</v>
      </c>
      <c r="L561" s="68" t="s">
        <v>16</v>
      </c>
      <c r="M561" s="71" t="s">
        <v>1454</v>
      </c>
      <c r="O561" s="16" t="str">
        <f t="shared" si="22"/>
        <v>OUI</v>
      </c>
    </row>
    <row r="562" spans="1:15" ht="15" customHeight="1" x14ac:dyDescent="0.3">
      <c r="A562" s="72" t="s">
        <v>212</v>
      </c>
      <c r="B562" s="90" t="s">
        <v>1455</v>
      </c>
      <c r="C562" s="73" t="s">
        <v>294</v>
      </c>
      <c r="D562" s="73" t="s">
        <v>1456</v>
      </c>
      <c r="E562" s="73" t="s">
        <v>27</v>
      </c>
      <c r="F562" s="74">
        <v>45915.324999999997</v>
      </c>
      <c r="G562" s="73">
        <v>1910</v>
      </c>
      <c r="H562" s="73" t="s">
        <v>14</v>
      </c>
      <c r="I562" s="80">
        <v>46029.635231481479</v>
      </c>
      <c r="J562" s="73">
        <v>1746</v>
      </c>
      <c r="K562" s="81" t="str">
        <f t="shared" si="21"/>
        <v>OUI</v>
      </c>
      <c r="L562" s="73" t="s">
        <v>16</v>
      </c>
      <c r="M562" s="76" t="s">
        <v>1457</v>
      </c>
      <c r="O562" s="16" t="str">
        <f t="shared" si="22"/>
        <v>OUI</v>
      </c>
    </row>
    <row r="563" spans="1:15" ht="15" customHeight="1" x14ac:dyDescent="0.3">
      <c r="A563" s="67" t="s">
        <v>34</v>
      </c>
      <c r="B563" s="91" t="s">
        <v>1458</v>
      </c>
      <c r="C563" s="68" t="s">
        <v>294</v>
      </c>
      <c r="D563" s="68" t="s">
        <v>1459</v>
      </c>
      <c r="E563" s="68" t="s">
        <v>38</v>
      </c>
      <c r="F563" s="69">
        <v>45915.663194444445</v>
      </c>
      <c r="G563" s="68">
        <v>1912</v>
      </c>
      <c r="H563" s="68" t="s">
        <v>14</v>
      </c>
      <c r="I563" s="70"/>
      <c r="J563" s="68">
        <v>1747</v>
      </c>
      <c r="K563" s="81" t="str">
        <f t="shared" si="21"/>
        <v/>
      </c>
      <c r="L563" s="68" t="s">
        <v>16</v>
      </c>
      <c r="M563" s="71"/>
      <c r="O563" s="16" t="str">
        <f t="shared" si="22"/>
        <v/>
      </c>
    </row>
    <row r="564" spans="1:15" ht="15" customHeight="1" x14ac:dyDescent="0.3">
      <c r="A564" s="67" t="s">
        <v>34</v>
      </c>
      <c r="B564" s="91" t="s">
        <v>1460</v>
      </c>
      <c r="C564" s="68" t="s">
        <v>226</v>
      </c>
      <c r="D564" s="68" t="s">
        <v>1461</v>
      </c>
      <c r="E564" s="68" t="s">
        <v>38</v>
      </c>
      <c r="F564" s="69">
        <v>45915.706944444442</v>
      </c>
      <c r="G564" s="68">
        <v>1748</v>
      </c>
      <c r="H564" s="68" t="s">
        <v>24</v>
      </c>
      <c r="I564" s="79">
        <v>45915.711111111108</v>
      </c>
      <c r="J564" s="68">
        <v>1748</v>
      </c>
      <c r="K564" s="81" t="str">
        <f t="shared" si="21"/>
        <v>OUI</v>
      </c>
      <c r="L564" s="68" t="s">
        <v>16</v>
      </c>
      <c r="M564" s="71" t="s">
        <v>1462</v>
      </c>
      <c r="N564" s="38">
        <v>45915</v>
      </c>
      <c r="O564" s="16" t="str">
        <f t="shared" si="22"/>
        <v>OUI</v>
      </c>
    </row>
    <row r="565" spans="1:15" ht="15" customHeight="1" x14ac:dyDescent="0.3">
      <c r="A565" s="72" t="s">
        <v>17</v>
      </c>
      <c r="B565" s="10" t="s">
        <v>1463</v>
      </c>
      <c r="C565" s="1" t="s">
        <v>172</v>
      </c>
      <c r="D565" s="73" t="s">
        <v>1464</v>
      </c>
      <c r="E565" s="73" t="s">
        <v>19</v>
      </c>
      <c r="F565" s="74">
        <v>45915.79791666667</v>
      </c>
      <c r="G565" s="73">
        <v>1914</v>
      </c>
      <c r="H565" s="73" t="s">
        <v>14</v>
      </c>
      <c r="I565" s="80">
        <v>46006.781192129631</v>
      </c>
      <c r="J565" s="73">
        <v>1749</v>
      </c>
      <c r="K565" s="81" t="str">
        <f t="shared" ref="K565:K628" si="23">IF(AND(NOT(ISBLANK(I565)), NOT(ISBLANK(M565))), "OUI", "")</f>
        <v>OUI</v>
      </c>
      <c r="L565" s="73" t="s">
        <v>16</v>
      </c>
      <c r="M565" s="76" t="s">
        <v>1465</v>
      </c>
      <c r="O565" s="16" t="str">
        <f t="shared" si="22"/>
        <v>OUI</v>
      </c>
    </row>
    <row r="566" spans="1:15" ht="15" customHeight="1" x14ac:dyDescent="0.3">
      <c r="A566" s="67" t="s">
        <v>34</v>
      </c>
      <c r="B566" s="91" t="s">
        <v>1466</v>
      </c>
      <c r="C566" s="68" t="s">
        <v>172</v>
      </c>
      <c r="D566" s="68" t="s">
        <v>1467</v>
      </c>
      <c r="E566" s="68" t="s">
        <v>38</v>
      </c>
      <c r="F566" s="69">
        <v>45916.436111111114</v>
      </c>
      <c r="G566" s="68">
        <v>1916</v>
      </c>
      <c r="H566" s="68" t="s">
        <v>14</v>
      </c>
      <c r="I566" s="79">
        <v>46001.560648148145</v>
      </c>
      <c r="J566" s="68">
        <v>1750</v>
      </c>
      <c r="K566" s="81" t="str">
        <f t="shared" si="23"/>
        <v>OUI</v>
      </c>
      <c r="L566" s="68" t="s">
        <v>16</v>
      </c>
      <c r="M566" s="71" t="s">
        <v>1468</v>
      </c>
      <c r="O566" s="16" t="str">
        <f t="shared" si="22"/>
        <v>OUI</v>
      </c>
    </row>
    <row r="567" spans="1:15" ht="15" customHeight="1" x14ac:dyDescent="0.3">
      <c r="A567" s="67" t="s">
        <v>17</v>
      </c>
      <c r="B567" s="10" t="s">
        <v>1469</v>
      </c>
      <c r="C567" s="1" t="s">
        <v>301</v>
      </c>
      <c r="D567" s="68" t="s">
        <v>1470</v>
      </c>
      <c r="E567" s="68" t="s">
        <v>19</v>
      </c>
      <c r="F567" s="69">
        <v>45916.523611111108</v>
      </c>
      <c r="G567" s="68">
        <v>1918</v>
      </c>
      <c r="H567" s="68" t="s">
        <v>14</v>
      </c>
      <c r="I567" s="70"/>
      <c r="J567" s="68">
        <v>1751</v>
      </c>
      <c r="K567" s="81" t="str">
        <f t="shared" si="23"/>
        <v/>
      </c>
      <c r="L567" s="68" t="s">
        <v>16</v>
      </c>
      <c r="M567" s="71"/>
      <c r="O567" s="16" t="str">
        <f t="shared" si="22"/>
        <v/>
      </c>
    </row>
    <row r="568" spans="1:15" ht="15" customHeight="1" x14ac:dyDescent="0.3">
      <c r="A568" s="72" t="s">
        <v>34</v>
      </c>
      <c r="B568" s="90" t="s">
        <v>1471</v>
      </c>
      <c r="C568" s="73" t="s">
        <v>47</v>
      </c>
      <c r="D568" s="73" t="s">
        <v>1472</v>
      </c>
      <c r="E568" s="73" t="s">
        <v>38</v>
      </c>
      <c r="F568" s="74">
        <v>45916.551388888889</v>
      </c>
      <c r="G568" s="73">
        <v>1752</v>
      </c>
      <c r="H568" s="73" t="s">
        <v>24</v>
      </c>
      <c r="I568" s="80">
        <v>45917.55</v>
      </c>
      <c r="J568" s="73">
        <v>1752</v>
      </c>
      <c r="K568" s="81" t="str">
        <f t="shared" si="23"/>
        <v>OUI</v>
      </c>
      <c r="L568" s="73" t="s">
        <v>16</v>
      </c>
      <c r="M568" s="76" t="s">
        <v>1473</v>
      </c>
      <c r="N568" s="38">
        <v>45917</v>
      </c>
      <c r="O568" s="16" t="str">
        <f t="shared" si="22"/>
        <v>OUI</v>
      </c>
    </row>
    <row r="569" spans="1:15" ht="15" customHeight="1" x14ac:dyDescent="0.3">
      <c r="A569" s="67" t="s">
        <v>17</v>
      </c>
      <c r="B569" s="10" t="s">
        <v>1352</v>
      </c>
      <c r="C569" s="1" t="s">
        <v>88</v>
      </c>
      <c r="D569" s="68" t="s">
        <v>1474</v>
      </c>
      <c r="E569" s="68" t="s">
        <v>19</v>
      </c>
      <c r="F569" s="69">
        <v>45920.614583333336</v>
      </c>
      <c r="G569" s="68">
        <v>1920</v>
      </c>
      <c r="H569" s="68" t="s">
        <v>14</v>
      </c>
      <c r="I569" s="70"/>
      <c r="J569" s="68">
        <v>1753</v>
      </c>
      <c r="K569" s="81" t="str">
        <f t="shared" si="23"/>
        <v/>
      </c>
      <c r="L569" s="68" t="s">
        <v>16</v>
      </c>
      <c r="M569" s="71"/>
      <c r="O569" s="16" t="str">
        <f t="shared" si="22"/>
        <v/>
      </c>
    </row>
    <row r="570" spans="1:15" ht="15" customHeight="1" x14ac:dyDescent="0.3">
      <c r="A570" s="72" t="s">
        <v>28</v>
      </c>
      <c r="B570" s="90" t="s">
        <v>1475</v>
      </c>
      <c r="C570" s="73" t="s">
        <v>66</v>
      </c>
      <c r="D570" s="100" t="s">
        <v>1476</v>
      </c>
      <c r="E570" s="73" t="s">
        <v>31</v>
      </c>
      <c r="F570" s="74">
        <v>45922.650694444441</v>
      </c>
      <c r="G570" s="73">
        <v>1922</v>
      </c>
      <c r="H570" s="73" t="s">
        <v>14</v>
      </c>
      <c r="I570" s="80">
        <v>45936.662604166668</v>
      </c>
      <c r="J570" s="73">
        <v>1754</v>
      </c>
      <c r="K570" s="81" t="str">
        <f t="shared" si="23"/>
        <v>OUI</v>
      </c>
      <c r="L570" s="73" t="s">
        <v>16</v>
      </c>
      <c r="M570" s="76" t="s">
        <v>1477</v>
      </c>
      <c r="N570" s="38">
        <v>45930</v>
      </c>
      <c r="O570" s="16" t="str">
        <f t="shared" si="22"/>
        <v>OUI</v>
      </c>
    </row>
    <row r="571" spans="1:15" ht="15" customHeight="1" x14ac:dyDescent="0.3">
      <c r="A571" s="67" t="s">
        <v>209</v>
      </c>
      <c r="B571" s="91" t="s">
        <v>1478</v>
      </c>
      <c r="C571" s="68" t="s">
        <v>962</v>
      </c>
      <c r="D571" s="68" t="s">
        <v>1479</v>
      </c>
      <c r="E571" s="68" t="s">
        <v>57</v>
      </c>
      <c r="F571" s="69">
        <v>45923.359722222223</v>
      </c>
      <c r="G571" s="68">
        <v>1924</v>
      </c>
      <c r="H571" s="68" t="s">
        <v>14</v>
      </c>
      <c r="I571" s="79">
        <v>45936.444282407407</v>
      </c>
      <c r="J571" s="68">
        <v>1755</v>
      </c>
      <c r="K571" s="81" t="str">
        <f t="shared" si="23"/>
        <v>OUI</v>
      </c>
      <c r="L571" s="68" t="s">
        <v>16</v>
      </c>
      <c r="M571" s="71" t="s">
        <v>1480</v>
      </c>
      <c r="N571" s="38">
        <v>45929</v>
      </c>
      <c r="O571" s="16" t="str">
        <f t="shared" si="22"/>
        <v>OUI</v>
      </c>
    </row>
    <row r="572" spans="1:15" ht="15" customHeight="1" x14ac:dyDescent="0.3">
      <c r="A572" s="67" t="s">
        <v>17</v>
      </c>
      <c r="B572" s="10" t="s">
        <v>1352</v>
      </c>
      <c r="C572" s="1" t="s">
        <v>88</v>
      </c>
      <c r="D572" s="68" t="s">
        <v>1353</v>
      </c>
      <c r="E572" s="68" t="s">
        <v>19</v>
      </c>
      <c r="F572" s="69">
        <v>45923.395833333336</v>
      </c>
      <c r="G572" s="68">
        <v>1926</v>
      </c>
      <c r="H572" s="68" t="s">
        <v>14</v>
      </c>
      <c r="I572" s="70"/>
      <c r="J572" s="68">
        <v>1756</v>
      </c>
      <c r="K572" s="81" t="str">
        <f t="shared" si="23"/>
        <v/>
      </c>
      <c r="L572" s="68" t="s">
        <v>165</v>
      </c>
      <c r="M572" s="71"/>
      <c r="O572" s="16" t="str">
        <f t="shared" si="22"/>
        <v/>
      </c>
    </row>
    <row r="573" spans="1:15" ht="15" customHeight="1" x14ac:dyDescent="0.3">
      <c r="A573" s="67" t="s">
        <v>17</v>
      </c>
      <c r="B573" s="10" t="s">
        <v>1481</v>
      </c>
      <c r="C573" s="1" t="s">
        <v>1030</v>
      </c>
      <c r="D573" s="68" t="s">
        <v>1482</v>
      </c>
      <c r="E573" s="68" t="s">
        <v>19</v>
      </c>
      <c r="F573" s="69">
        <v>45923.488888888889</v>
      </c>
      <c r="G573" s="68">
        <v>1928</v>
      </c>
      <c r="H573" s="68" t="s">
        <v>14</v>
      </c>
      <c r="I573" s="70"/>
      <c r="J573" s="68">
        <v>1757</v>
      </c>
      <c r="K573" s="81" t="str">
        <f t="shared" si="23"/>
        <v/>
      </c>
      <c r="L573" s="68" t="s">
        <v>16</v>
      </c>
      <c r="M573" s="71"/>
      <c r="O573" s="16" t="str">
        <f t="shared" si="22"/>
        <v/>
      </c>
    </row>
    <row r="574" spans="1:15" ht="15" customHeight="1" x14ac:dyDescent="0.3">
      <c r="A574" s="72" t="s">
        <v>262</v>
      </c>
      <c r="B574" s="10" t="s">
        <v>1483</v>
      </c>
      <c r="C574" s="73" t="s">
        <v>109</v>
      </c>
      <c r="D574" s="73" t="s">
        <v>521</v>
      </c>
      <c r="E574" s="73" t="s">
        <v>266</v>
      </c>
      <c r="F574" s="74">
        <v>45924.375</v>
      </c>
      <c r="G574" s="73">
        <v>1932</v>
      </c>
      <c r="H574" s="73" t="s">
        <v>24</v>
      </c>
      <c r="I574" s="80">
        <v>45931.563750000001</v>
      </c>
      <c r="J574" s="73">
        <v>1760</v>
      </c>
      <c r="K574" s="81" t="str">
        <f t="shared" si="23"/>
        <v>OUI</v>
      </c>
      <c r="L574" s="73" t="s">
        <v>165</v>
      </c>
      <c r="M574" s="76" t="s">
        <v>1484</v>
      </c>
      <c r="O574" s="16" t="str">
        <f t="shared" si="22"/>
        <v>OUI</v>
      </c>
    </row>
    <row r="575" spans="1:15" ht="15" customHeight="1" x14ac:dyDescent="0.3">
      <c r="A575" s="72" t="s">
        <v>212</v>
      </c>
      <c r="B575" s="90" t="s">
        <v>1485</v>
      </c>
      <c r="C575" s="73" t="s">
        <v>376</v>
      </c>
      <c r="D575" s="73" t="s">
        <v>1486</v>
      </c>
      <c r="E575" s="73" t="s">
        <v>27</v>
      </c>
      <c r="F575" s="74">
        <v>45924.636111111111</v>
      </c>
      <c r="G575" s="73">
        <v>1934</v>
      </c>
      <c r="H575" s="73" t="s">
        <v>14</v>
      </c>
      <c r="I575" s="75"/>
      <c r="J575" s="73">
        <v>1761</v>
      </c>
      <c r="K575" s="81" t="str">
        <f t="shared" si="23"/>
        <v/>
      </c>
      <c r="L575" s="73" t="s">
        <v>16</v>
      </c>
      <c r="M575" s="76"/>
      <c r="O575" s="16" t="str">
        <f t="shared" si="22"/>
        <v/>
      </c>
    </row>
    <row r="576" spans="1:15" ht="15" customHeight="1" x14ac:dyDescent="0.3">
      <c r="A576" s="67" t="s">
        <v>34</v>
      </c>
      <c r="B576" s="91" t="s">
        <v>1487</v>
      </c>
      <c r="C576" s="68" t="s">
        <v>88</v>
      </c>
      <c r="D576" s="68" t="s">
        <v>1488</v>
      </c>
      <c r="E576" s="68" t="s">
        <v>38</v>
      </c>
      <c r="F576" s="69">
        <v>45930.302083333336</v>
      </c>
      <c r="G576" s="68">
        <v>1762</v>
      </c>
      <c r="H576" s="68" t="s">
        <v>24</v>
      </c>
      <c r="I576" s="79">
        <v>45930.303472222222</v>
      </c>
      <c r="J576" s="68">
        <v>1762</v>
      </c>
      <c r="K576" s="81" t="str">
        <f t="shared" si="23"/>
        <v>OUI</v>
      </c>
      <c r="L576" s="68" t="s">
        <v>16</v>
      </c>
      <c r="M576" s="71" t="s">
        <v>1489</v>
      </c>
      <c r="N576" s="38">
        <v>45930</v>
      </c>
      <c r="O576" s="16" t="str">
        <f t="shared" si="22"/>
        <v>OUI</v>
      </c>
    </row>
    <row r="577" spans="1:15" ht="15" customHeight="1" x14ac:dyDescent="0.3">
      <c r="A577" s="72" t="s">
        <v>17</v>
      </c>
      <c r="B577" s="10" t="s">
        <v>1490</v>
      </c>
      <c r="C577" s="1" t="s">
        <v>88</v>
      </c>
      <c r="D577" s="73" t="s">
        <v>1491</v>
      </c>
      <c r="E577" s="73" t="s">
        <v>19</v>
      </c>
      <c r="F577" s="74">
        <v>45937.407638888886</v>
      </c>
      <c r="G577" s="73">
        <v>1938</v>
      </c>
      <c r="H577" s="73" t="s">
        <v>14</v>
      </c>
      <c r="I577" s="75"/>
      <c r="J577" s="73">
        <v>1764</v>
      </c>
      <c r="K577" s="81" t="str">
        <f t="shared" si="23"/>
        <v/>
      </c>
      <c r="L577" s="73" t="s">
        <v>16</v>
      </c>
      <c r="M577" s="76"/>
      <c r="O577" s="16" t="str">
        <f t="shared" si="22"/>
        <v/>
      </c>
    </row>
    <row r="578" spans="1:15" ht="15" customHeight="1" x14ac:dyDescent="0.3">
      <c r="A578" s="72" t="s">
        <v>34</v>
      </c>
      <c r="B578" s="90" t="s">
        <v>1492</v>
      </c>
      <c r="C578" s="73" t="s">
        <v>106</v>
      </c>
      <c r="D578" s="73" t="s">
        <v>1493</v>
      </c>
      <c r="E578" s="73" t="s">
        <v>38</v>
      </c>
      <c r="F578" s="74">
        <v>45938.818749999999</v>
      </c>
      <c r="G578" s="73">
        <v>1940</v>
      </c>
      <c r="H578" s="73" t="s">
        <v>14</v>
      </c>
      <c r="I578" s="75"/>
      <c r="J578" s="73">
        <v>1765</v>
      </c>
      <c r="K578" s="81" t="str">
        <f t="shared" si="23"/>
        <v/>
      </c>
      <c r="L578" s="73" t="s">
        <v>16</v>
      </c>
      <c r="M578" s="76"/>
      <c r="O578" s="16" t="str">
        <f t="shared" si="22"/>
        <v/>
      </c>
    </row>
    <row r="579" spans="1:15" ht="15" customHeight="1" x14ac:dyDescent="0.3">
      <c r="A579" s="67" t="s">
        <v>17</v>
      </c>
      <c r="B579" s="10" t="s">
        <v>1494</v>
      </c>
      <c r="C579" s="68" t="s">
        <v>26</v>
      </c>
      <c r="D579" s="68" t="s">
        <v>1495</v>
      </c>
      <c r="E579" s="68" t="s">
        <v>19</v>
      </c>
      <c r="F579" s="69">
        <v>45939.939583333333</v>
      </c>
      <c r="G579" s="68">
        <v>1942</v>
      </c>
      <c r="H579" s="68" t="s">
        <v>14</v>
      </c>
      <c r="I579" s="79">
        <v>46006.836435185185</v>
      </c>
      <c r="J579" s="68">
        <v>1766</v>
      </c>
      <c r="K579" s="81" t="str">
        <f t="shared" si="23"/>
        <v>OUI</v>
      </c>
      <c r="L579" s="68" t="s">
        <v>16</v>
      </c>
      <c r="M579" s="71" t="s">
        <v>1496</v>
      </c>
      <c r="N579" s="38">
        <v>45991</v>
      </c>
      <c r="O579" s="16" t="str">
        <f t="shared" si="22"/>
        <v>OUI</v>
      </c>
    </row>
    <row r="580" spans="1:15" ht="15" customHeight="1" x14ac:dyDescent="0.3">
      <c r="A580" s="67" t="s">
        <v>34</v>
      </c>
      <c r="B580" s="91" t="s">
        <v>1497</v>
      </c>
      <c r="C580" s="68" t="s">
        <v>88</v>
      </c>
      <c r="D580" s="68" t="s">
        <v>1498</v>
      </c>
      <c r="E580" s="68" t="s">
        <v>38</v>
      </c>
      <c r="F580" s="69">
        <v>45940.768750000003</v>
      </c>
      <c r="G580" s="68">
        <v>1944</v>
      </c>
      <c r="H580" s="68" t="s">
        <v>14</v>
      </c>
      <c r="I580" s="70"/>
      <c r="J580" s="68">
        <v>1768</v>
      </c>
      <c r="K580" s="81" t="str">
        <f t="shared" si="23"/>
        <v/>
      </c>
      <c r="L580" s="68" t="s">
        <v>16</v>
      </c>
      <c r="M580" s="71"/>
      <c r="O580" s="16" t="str">
        <f t="shared" si="22"/>
        <v/>
      </c>
    </row>
    <row r="581" spans="1:15" ht="15" customHeight="1" x14ac:dyDescent="0.3">
      <c r="A581" s="72" t="s">
        <v>17</v>
      </c>
      <c r="B581" s="10" t="s">
        <v>1499</v>
      </c>
      <c r="C581" s="73" t="s">
        <v>36</v>
      </c>
      <c r="D581" s="73" t="s">
        <v>1500</v>
      </c>
      <c r="E581" s="73" t="s">
        <v>19</v>
      </c>
      <c r="F581" s="74">
        <v>45941.663194444445</v>
      </c>
      <c r="G581" s="73">
        <v>1946</v>
      </c>
      <c r="H581" s="73" t="s">
        <v>14</v>
      </c>
      <c r="I581" s="75"/>
      <c r="J581" s="73">
        <v>1769</v>
      </c>
      <c r="K581" s="81" t="str">
        <f t="shared" si="23"/>
        <v/>
      </c>
      <c r="L581" s="73" t="s">
        <v>16</v>
      </c>
      <c r="M581" s="76"/>
      <c r="O581" s="16" t="str">
        <f t="shared" si="22"/>
        <v/>
      </c>
    </row>
    <row r="582" spans="1:15" ht="15" customHeight="1" x14ac:dyDescent="0.3">
      <c r="A582" s="67" t="s">
        <v>34</v>
      </c>
      <c r="B582" s="91" t="s">
        <v>1501</v>
      </c>
      <c r="C582" s="68" t="s">
        <v>36</v>
      </c>
      <c r="D582" s="68" t="s">
        <v>1502</v>
      </c>
      <c r="E582" s="68" t="s">
        <v>38</v>
      </c>
      <c r="F582" s="69">
        <v>45943.671527777777</v>
      </c>
      <c r="G582" s="68">
        <v>1948</v>
      </c>
      <c r="H582" s="68" t="s">
        <v>14</v>
      </c>
      <c r="I582" s="79">
        <v>46001.566388888888</v>
      </c>
      <c r="J582" s="68">
        <v>1770</v>
      </c>
      <c r="K582" s="81" t="str">
        <f t="shared" si="23"/>
        <v>OUI</v>
      </c>
      <c r="L582" s="68" t="s">
        <v>16</v>
      </c>
      <c r="M582" s="71" t="s">
        <v>1503</v>
      </c>
      <c r="O582" s="16" t="str">
        <f t="shared" si="22"/>
        <v>OUI</v>
      </c>
    </row>
    <row r="583" spans="1:15" ht="15" customHeight="1" x14ac:dyDescent="0.3">
      <c r="A583" s="67" t="s">
        <v>34</v>
      </c>
      <c r="B583" s="91" t="s">
        <v>1041</v>
      </c>
      <c r="C583" s="68" t="s">
        <v>66</v>
      </c>
      <c r="D583" s="68" t="s">
        <v>1042</v>
      </c>
      <c r="E583" s="68" t="s">
        <v>38</v>
      </c>
      <c r="F583" s="69">
        <v>45944.441666666666</v>
      </c>
      <c r="G583" s="68">
        <v>1949</v>
      </c>
      <c r="H583" s="68" t="s">
        <v>24</v>
      </c>
      <c r="I583" s="70"/>
      <c r="J583" s="68">
        <v>1771</v>
      </c>
      <c r="K583" s="81" t="str">
        <f t="shared" si="23"/>
        <v/>
      </c>
      <c r="L583" s="68" t="s">
        <v>165</v>
      </c>
      <c r="M583" s="71"/>
      <c r="O583" s="16" t="str">
        <f t="shared" si="22"/>
        <v/>
      </c>
    </row>
    <row r="584" spans="1:15" ht="15" customHeight="1" x14ac:dyDescent="0.3">
      <c r="A584" s="72" t="s">
        <v>34</v>
      </c>
      <c r="B584" s="90" t="s">
        <v>1041</v>
      </c>
      <c r="C584" s="73" t="s">
        <v>66</v>
      </c>
      <c r="D584" s="73" t="s">
        <v>1042</v>
      </c>
      <c r="E584" s="73" t="s">
        <v>38</v>
      </c>
      <c r="F584" s="74">
        <v>45944.442361111112</v>
      </c>
      <c r="G584" s="73">
        <v>1950</v>
      </c>
      <c r="H584" s="73" t="s">
        <v>24</v>
      </c>
      <c r="I584" s="80">
        <v>45944.445416666669</v>
      </c>
      <c r="J584" s="73">
        <v>1772</v>
      </c>
      <c r="K584" s="81" t="str">
        <f t="shared" si="23"/>
        <v>OUI</v>
      </c>
      <c r="L584" s="73" t="s">
        <v>165</v>
      </c>
      <c r="M584" s="76" t="s">
        <v>1043</v>
      </c>
      <c r="N584" s="38">
        <v>45726</v>
      </c>
      <c r="O584" s="16" t="str">
        <f t="shared" si="22"/>
        <v>OUI</v>
      </c>
    </row>
    <row r="585" spans="1:15" ht="15" customHeight="1" x14ac:dyDescent="0.3">
      <c r="A585" s="67" t="s">
        <v>34</v>
      </c>
      <c r="B585" s="91" t="s">
        <v>1504</v>
      </c>
      <c r="C585" s="68" t="s">
        <v>88</v>
      </c>
      <c r="D585" s="68" t="s">
        <v>1505</v>
      </c>
      <c r="E585" s="68" t="s">
        <v>38</v>
      </c>
      <c r="F585" s="69">
        <v>45945.695833333331</v>
      </c>
      <c r="G585" s="68">
        <v>1951</v>
      </c>
      <c r="H585" s="68" t="s">
        <v>14</v>
      </c>
      <c r="I585" s="79">
        <v>46001.567499999997</v>
      </c>
      <c r="J585" s="68">
        <v>1773</v>
      </c>
      <c r="K585" s="81" t="str">
        <f t="shared" si="23"/>
        <v>OUI</v>
      </c>
      <c r="L585" s="68" t="s">
        <v>16</v>
      </c>
      <c r="M585" s="71" t="s">
        <v>1506</v>
      </c>
      <c r="O585" s="16" t="str">
        <f t="shared" si="22"/>
        <v>OUI</v>
      </c>
    </row>
    <row r="586" spans="1:15" ht="15" customHeight="1" x14ac:dyDescent="0.3">
      <c r="A586" s="67" t="s">
        <v>34</v>
      </c>
      <c r="B586" s="91" t="s">
        <v>1507</v>
      </c>
      <c r="C586" s="68" t="s">
        <v>88</v>
      </c>
      <c r="D586" s="68" t="s">
        <v>1508</v>
      </c>
      <c r="E586" s="68" t="s">
        <v>38</v>
      </c>
      <c r="F586" s="69">
        <v>45945.708333333336</v>
      </c>
      <c r="G586" s="68">
        <v>1953</v>
      </c>
      <c r="H586" s="68" t="s">
        <v>14</v>
      </c>
      <c r="I586" s="70"/>
      <c r="J586" s="68">
        <v>1774</v>
      </c>
      <c r="K586" s="81" t="str">
        <f t="shared" si="23"/>
        <v/>
      </c>
      <c r="L586" s="68" t="s">
        <v>16</v>
      </c>
      <c r="M586" s="71"/>
      <c r="O586" s="16" t="str">
        <f t="shared" si="22"/>
        <v/>
      </c>
    </row>
    <row r="587" spans="1:15" ht="15" customHeight="1" x14ac:dyDescent="0.3">
      <c r="A587" s="67" t="s">
        <v>34</v>
      </c>
      <c r="B587" s="91" t="s">
        <v>886</v>
      </c>
      <c r="C587" s="68" t="s">
        <v>26</v>
      </c>
      <c r="D587" s="68" t="s">
        <v>1509</v>
      </c>
      <c r="E587" s="68" t="s">
        <v>38</v>
      </c>
      <c r="F587" s="69">
        <v>45945.807638888888</v>
      </c>
      <c r="G587" s="68">
        <v>1955</v>
      </c>
      <c r="H587" s="68" t="s">
        <v>14</v>
      </c>
      <c r="I587" s="70"/>
      <c r="J587" s="68">
        <v>1775</v>
      </c>
      <c r="K587" s="81" t="str">
        <f t="shared" si="23"/>
        <v/>
      </c>
      <c r="L587" s="68" t="s">
        <v>16</v>
      </c>
      <c r="M587" s="71"/>
      <c r="O587" s="16" t="str">
        <f t="shared" si="22"/>
        <v/>
      </c>
    </row>
    <row r="588" spans="1:15" ht="15" customHeight="1" x14ac:dyDescent="0.3">
      <c r="A588" s="67" t="s">
        <v>17</v>
      </c>
      <c r="B588" s="10" t="s">
        <v>1342</v>
      </c>
      <c r="C588" s="68" t="s">
        <v>63</v>
      </c>
      <c r="D588" s="68" t="s">
        <v>1343</v>
      </c>
      <c r="E588" s="68" t="s">
        <v>19</v>
      </c>
      <c r="F588" s="69">
        <v>45948.518055555556</v>
      </c>
      <c r="G588" s="68">
        <v>1959</v>
      </c>
      <c r="H588" s="68" t="s">
        <v>14</v>
      </c>
      <c r="I588" s="70"/>
      <c r="J588" s="68">
        <v>1777</v>
      </c>
      <c r="K588" s="81" t="str">
        <f t="shared" si="23"/>
        <v/>
      </c>
      <c r="L588" s="68" t="s">
        <v>165</v>
      </c>
      <c r="M588" s="71"/>
      <c r="O588" s="16" t="str">
        <f t="shared" ref="O588:O651" si="24">IF(AND(ISBLANK(I588), ISBLANK(N588)), "", "OUI")</f>
        <v/>
      </c>
    </row>
    <row r="589" spans="1:15" ht="15" customHeight="1" x14ac:dyDescent="0.3">
      <c r="A589" s="67" t="s">
        <v>34</v>
      </c>
      <c r="B589" s="91" t="s">
        <v>1510</v>
      </c>
      <c r="C589" s="68" t="s">
        <v>88</v>
      </c>
      <c r="D589" s="68" t="s">
        <v>1511</v>
      </c>
      <c r="E589" s="68" t="s">
        <v>38</v>
      </c>
      <c r="F589" s="69">
        <v>45949.768055555556</v>
      </c>
      <c r="G589" s="68">
        <v>1961</v>
      </c>
      <c r="H589" s="68" t="s">
        <v>14</v>
      </c>
      <c r="I589" s="79">
        <v>46001.569479166668</v>
      </c>
      <c r="J589" s="68">
        <v>1778</v>
      </c>
      <c r="K589" s="81" t="str">
        <f t="shared" si="23"/>
        <v>OUI</v>
      </c>
      <c r="L589" s="68" t="s">
        <v>16</v>
      </c>
      <c r="M589" s="71" t="s">
        <v>1512</v>
      </c>
      <c r="O589" s="16" t="str">
        <f t="shared" si="24"/>
        <v>OUI</v>
      </c>
    </row>
    <row r="590" spans="1:15" ht="15" customHeight="1" x14ac:dyDescent="0.3">
      <c r="A590" s="67" t="s">
        <v>34</v>
      </c>
      <c r="B590" s="91" t="s">
        <v>1513</v>
      </c>
      <c r="C590" s="68" t="s">
        <v>63</v>
      </c>
      <c r="D590" s="68" t="s">
        <v>1514</v>
      </c>
      <c r="E590" s="68" t="s">
        <v>38</v>
      </c>
      <c r="F590" s="69">
        <v>45950.439583333333</v>
      </c>
      <c r="G590" s="68">
        <v>1963</v>
      </c>
      <c r="H590" s="68" t="s">
        <v>14</v>
      </c>
      <c r="I590" s="79">
        <v>46001.570185185185</v>
      </c>
      <c r="J590" s="68">
        <v>1779</v>
      </c>
      <c r="K590" s="81" t="str">
        <f t="shared" si="23"/>
        <v>OUI</v>
      </c>
      <c r="L590" s="68" t="s">
        <v>16</v>
      </c>
      <c r="M590" s="71" t="s">
        <v>1515</v>
      </c>
      <c r="O590" s="16" t="str">
        <f t="shared" si="24"/>
        <v>OUI</v>
      </c>
    </row>
    <row r="591" spans="1:15" ht="15" customHeight="1" x14ac:dyDescent="0.3">
      <c r="A591" s="72" t="s">
        <v>34</v>
      </c>
      <c r="B591" s="90" t="s">
        <v>1516</v>
      </c>
      <c r="C591" s="73" t="s">
        <v>26</v>
      </c>
      <c r="D591" s="73" t="s">
        <v>1517</v>
      </c>
      <c r="E591" s="73" t="s">
        <v>38</v>
      </c>
      <c r="F591" s="74">
        <v>45950.461111111108</v>
      </c>
      <c r="G591" s="73">
        <v>1965</v>
      </c>
      <c r="H591" s="73" t="s">
        <v>14</v>
      </c>
      <c r="I591" s="80">
        <v>46001.570914351854</v>
      </c>
      <c r="J591" s="73">
        <v>1780</v>
      </c>
      <c r="K591" s="81" t="str">
        <f t="shared" si="23"/>
        <v>OUI</v>
      </c>
      <c r="L591" s="73" t="s">
        <v>16</v>
      </c>
      <c r="M591" s="76" t="s">
        <v>1518</v>
      </c>
      <c r="O591" s="16" t="str">
        <f t="shared" si="24"/>
        <v>OUI</v>
      </c>
    </row>
    <row r="592" spans="1:15" ht="15" customHeight="1" x14ac:dyDescent="0.3">
      <c r="A592" s="67" t="s">
        <v>34</v>
      </c>
      <c r="B592" s="91" t="s">
        <v>886</v>
      </c>
      <c r="C592" s="68" t="s">
        <v>26</v>
      </c>
      <c r="D592" s="68" t="s">
        <v>1519</v>
      </c>
      <c r="E592" s="68" t="s">
        <v>38</v>
      </c>
      <c r="F592" s="69">
        <v>45950.486111111109</v>
      </c>
      <c r="G592" s="68">
        <v>1967</v>
      </c>
      <c r="H592" s="68" t="s">
        <v>14</v>
      </c>
      <c r="I592" s="70"/>
      <c r="J592" s="68">
        <v>1781</v>
      </c>
      <c r="K592" s="81" t="str">
        <f t="shared" si="23"/>
        <v/>
      </c>
      <c r="L592" s="68" t="s">
        <v>16</v>
      </c>
      <c r="M592" s="71"/>
      <c r="O592" s="16" t="str">
        <f t="shared" si="24"/>
        <v/>
      </c>
    </row>
    <row r="593" spans="1:15" ht="15" customHeight="1" x14ac:dyDescent="0.3">
      <c r="A593" s="67" t="s">
        <v>34</v>
      </c>
      <c r="B593" s="91" t="s">
        <v>1520</v>
      </c>
      <c r="C593" s="68" t="s">
        <v>88</v>
      </c>
      <c r="D593" s="68" t="s">
        <v>1521</v>
      </c>
      <c r="E593" s="68" t="s">
        <v>38</v>
      </c>
      <c r="F593" s="69">
        <v>45950.5</v>
      </c>
      <c r="G593" s="68">
        <v>1969</v>
      </c>
      <c r="H593" s="68" t="s">
        <v>14</v>
      </c>
      <c r="I593" s="70"/>
      <c r="J593" s="68">
        <v>1782</v>
      </c>
      <c r="K593" s="81" t="str">
        <f t="shared" si="23"/>
        <v/>
      </c>
      <c r="L593" s="68" t="s">
        <v>16</v>
      </c>
      <c r="M593" s="71"/>
      <c r="O593" s="16" t="str">
        <f t="shared" si="24"/>
        <v/>
      </c>
    </row>
    <row r="594" spans="1:15" ht="15" customHeight="1" x14ac:dyDescent="0.3">
      <c r="A594" s="67" t="s">
        <v>34</v>
      </c>
      <c r="B594" s="91" t="s">
        <v>886</v>
      </c>
      <c r="C594" s="68" t="s">
        <v>26</v>
      </c>
      <c r="D594" s="68" t="s">
        <v>1519</v>
      </c>
      <c r="E594" s="68" t="s">
        <v>38</v>
      </c>
      <c r="F594" s="69">
        <v>45950.511805555558</v>
      </c>
      <c r="G594" s="68">
        <v>1783</v>
      </c>
      <c r="H594" s="68" t="s">
        <v>24</v>
      </c>
      <c r="I594" s="79">
        <v>45950.513194444444</v>
      </c>
      <c r="J594" s="68">
        <v>1783</v>
      </c>
      <c r="K594" s="81" t="str">
        <f t="shared" si="23"/>
        <v>OUI</v>
      </c>
      <c r="L594" s="68" t="s">
        <v>16</v>
      </c>
      <c r="M594" s="71" t="s">
        <v>1522</v>
      </c>
      <c r="N594" s="38">
        <v>45950</v>
      </c>
      <c r="O594" s="16" t="str">
        <f t="shared" si="24"/>
        <v>OUI</v>
      </c>
    </row>
    <row r="595" spans="1:15" ht="15" customHeight="1" x14ac:dyDescent="0.3">
      <c r="A595" s="67" t="s">
        <v>34</v>
      </c>
      <c r="B595" s="91" t="s">
        <v>1523</v>
      </c>
      <c r="C595" s="68" t="s">
        <v>1524</v>
      </c>
      <c r="D595" s="68" t="s">
        <v>1525</v>
      </c>
      <c r="E595" s="68" t="s">
        <v>38</v>
      </c>
      <c r="F595" s="69">
        <v>45950.513194444444</v>
      </c>
      <c r="G595" s="68">
        <v>1971</v>
      </c>
      <c r="H595" s="68" t="s">
        <v>14</v>
      </c>
      <c r="I595" s="70"/>
      <c r="J595" s="68">
        <v>1784</v>
      </c>
      <c r="K595" s="81" t="str">
        <f t="shared" si="23"/>
        <v/>
      </c>
      <c r="L595" s="68" t="s">
        <v>16</v>
      </c>
      <c r="M595" s="71"/>
      <c r="O595" s="16" t="str">
        <f t="shared" si="24"/>
        <v/>
      </c>
    </row>
    <row r="596" spans="1:15" ht="15" customHeight="1" x14ac:dyDescent="0.3">
      <c r="A596" s="67" t="s">
        <v>34</v>
      </c>
      <c r="B596" s="91" t="s">
        <v>1526</v>
      </c>
      <c r="C596" s="68" t="s">
        <v>26</v>
      </c>
      <c r="D596" s="68" t="s">
        <v>1527</v>
      </c>
      <c r="E596" s="68" t="s">
        <v>38</v>
      </c>
      <c r="F596" s="69">
        <v>45950.804166666669</v>
      </c>
      <c r="G596" s="68">
        <v>1973</v>
      </c>
      <c r="H596" s="68" t="s">
        <v>14</v>
      </c>
      <c r="I596" s="79">
        <v>46001.57135416667</v>
      </c>
      <c r="J596" s="68">
        <v>1785</v>
      </c>
      <c r="K596" s="81" t="str">
        <f t="shared" si="23"/>
        <v>OUI</v>
      </c>
      <c r="L596" s="68" t="s">
        <v>16</v>
      </c>
      <c r="M596" s="71" t="s">
        <v>1528</v>
      </c>
      <c r="O596" s="16" t="str">
        <f t="shared" si="24"/>
        <v>OUI</v>
      </c>
    </row>
    <row r="597" spans="1:15" ht="15" customHeight="1" x14ac:dyDescent="0.3">
      <c r="A597" s="67" t="s">
        <v>34</v>
      </c>
      <c r="B597" s="91" t="s">
        <v>1529</v>
      </c>
      <c r="C597" s="68" t="s">
        <v>88</v>
      </c>
      <c r="D597" s="68" t="s">
        <v>1530</v>
      </c>
      <c r="E597" s="68" t="s">
        <v>38</v>
      </c>
      <c r="F597" s="69">
        <v>45950.844444444447</v>
      </c>
      <c r="G597" s="68">
        <v>1975</v>
      </c>
      <c r="H597" s="68" t="s">
        <v>14</v>
      </c>
      <c r="I597" s="70"/>
      <c r="J597" s="68">
        <v>1786</v>
      </c>
      <c r="K597" s="81" t="str">
        <f t="shared" si="23"/>
        <v/>
      </c>
      <c r="L597" s="68" t="s">
        <v>16</v>
      </c>
      <c r="M597" s="71"/>
      <c r="O597" s="16" t="str">
        <f t="shared" si="24"/>
        <v/>
      </c>
    </row>
    <row r="598" spans="1:15" ht="15" customHeight="1" x14ac:dyDescent="0.3">
      <c r="A598" s="67" t="s">
        <v>34</v>
      </c>
      <c r="B598" s="91" t="s">
        <v>1439</v>
      </c>
      <c r="C598" s="68" t="s">
        <v>172</v>
      </c>
      <c r="D598" s="68" t="s">
        <v>1440</v>
      </c>
      <c r="E598" s="68" t="s">
        <v>38</v>
      </c>
      <c r="F598" s="69">
        <v>45951.393750000003</v>
      </c>
      <c r="G598" s="68">
        <v>1977</v>
      </c>
      <c r="H598" s="68" t="s">
        <v>14</v>
      </c>
      <c r="I598" s="79">
        <v>45953.467453703706</v>
      </c>
      <c r="J598" s="68">
        <v>1788</v>
      </c>
      <c r="K598" s="81" t="str">
        <f t="shared" si="23"/>
        <v>OUI</v>
      </c>
      <c r="L598" s="68" t="s">
        <v>165</v>
      </c>
      <c r="M598" s="71" t="s">
        <v>1531</v>
      </c>
      <c r="N598" s="38">
        <v>45945</v>
      </c>
      <c r="O598" s="16" t="str">
        <f t="shared" si="24"/>
        <v>OUI</v>
      </c>
    </row>
    <row r="599" spans="1:15" ht="15" customHeight="1" x14ac:dyDescent="0.3">
      <c r="A599" s="67" t="s">
        <v>34</v>
      </c>
      <c r="B599" s="91" t="s">
        <v>1532</v>
      </c>
      <c r="C599" s="68" t="s">
        <v>88</v>
      </c>
      <c r="D599" s="68" t="s">
        <v>1533</v>
      </c>
      <c r="E599" s="68" t="s">
        <v>38</v>
      </c>
      <c r="F599" s="69">
        <v>45951.465277777781</v>
      </c>
      <c r="G599" s="68">
        <v>1979</v>
      </c>
      <c r="H599" s="68" t="s">
        <v>14</v>
      </c>
      <c r="I599" s="79">
        <v>46001.565844907411</v>
      </c>
      <c r="J599" s="68">
        <v>1789</v>
      </c>
      <c r="K599" s="81" t="str">
        <f t="shared" si="23"/>
        <v>OUI</v>
      </c>
      <c r="L599" s="68" t="s">
        <v>16</v>
      </c>
      <c r="M599" s="71" t="s">
        <v>1534</v>
      </c>
      <c r="O599" s="16" t="str">
        <f t="shared" si="24"/>
        <v>OUI</v>
      </c>
    </row>
    <row r="600" spans="1:15" ht="15" customHeight="1" x14ac:dyDescent="0.3">
      <c r="A600" s="67" t="s">
        <v>34</v>
      </c>
      <c r="B600" s="91" t="s">
        <v>1535</v>
      </c>
      <c r="C600" s="68" t="s">
        <v>398</v>
      </c>
      <c r="D600" s="68" t="s">
        <v>1536</v>
      </c>
      <c r="E600" s="68" t="s">
        <v>38</v>
      </c>
      <c r="F600" s="69">
        <v>45951.805555555555</v>
      </c>
      <c r="G600" s="68">
        <v>1981</v>
      </c>
      <c r="H600" s="68" t="s">
        <v>14</v>
      </c>
      <c r="I600" s="79">
        <v>45953.475937499999</v>
      </c>
      <c r="J600" s="68">
        <v>1790</v>
      </c>
      <c r="K600" s="81" t="str">
        <f t="shared" si="23"/>
        <v>OUI</v>
      </c>
      <c r="L600" s="68" t="s">
        <v>16</v>
      </c>
      <c r="M600" s="71" t="s">
        <v>1537</v>
      </c>
      <c r="N600" s="38">
        <v>45952</v>
      </c>
      <c r="O600" s="16" t="str">
        <f t="shared" si="24"/>
        <v>OUI</v>
      </c>
    </row>
    <row r="601" spans="1:15" ht="15" customHeight="1" x14ac:dyDescent="0.3">
      <c r="A601" s="72" t="s">
        <v>10</v>
      </c>
      <c r="B601" s="10" t="s">
        <v>1538</v>
      </c>
      <c r="C601" s="1" t="s">
        <v>376</v>
      </c>
      <c r="D601" s="73" t="s">
        <v>1539</v>
      </c>
      <c r="E601" s="73" t="s">
        <v>13</v>
      </c>
      <c r="F601" s="74">
        <v>45952.325694444444</v>
      </c>
      <c r="G601" s="73">
        <v>1983</v>
      </c>
      <c r="H601" s="73" t="s">
        <v>14</v>
      </c>
      <c r="I601" s="75"/>
      <c r="J601" s="73">
        <v>1791</v>
      </c>
      <c r="K601" s="81" t="str">
        <f t="shared" si="23"/>
        <v/>
      </c>
      <c r="L601" s="73" t="s">
        <v>16</v>
      </c>
      <c r="M601" s="76"/>
      <c r="O601" s="16" t="str">
        <f t="shared" si="24"/>
        <v/>
      </c>
    </row>
    <row r="602" spans="1:15" ht="15" customHeight="1" x14ac:dyDescent="0.3">
      <c r="A602" s="67" t="s">
        <v>34</v>
      </c>
      <c r="B602" s="91" t="s">
        <v>1540</v>
      </c>
      <c r="C602" s="68" t="s">
        <v>361</v>
      </c>
      <c r="D602" s="68" t="s">
        <v>1541</v>
      </c>
      <c r="E602" s="68" t="s">
        <v>38</v>
      </c>
      <c r="F602" s="69">
        <v>45952.629861111112</v>
      </c>
      <c r="G602" s="68">
        <v>1985</v>
      </c>
      <c r="H602" s="68" t="s">
        <v>14</v>
      </c>
      <c r="I602" s="79">
        <v>46045.393090277779</v>
      </c>
      <c r="J602" s="68">
        <v>1792</v>
      </c>
      <c r="K602" s="81" t="str">
        <f t="shared" si="23"/>
        <v>OUI</v>
      </c>
      <c r="L602" s="68" t="s">
        <v>16</v>
      </c>
      <c r="M602" s="71" t="s">
        <v>1542</v>
      </c>
      <c r="O602" s="16" t="str">
        <f t="shared" si="24"/>
        <v>OUI</v>
      </c>
    </row>
    <row r="603" spans="1:15" ht="15" customHeight="1" x14ac:dyDescent="0.3">
      <c r="A603" s="67" t="s">
        <v>17</v>
      </c>
      <c r="B603" s="10" t="s">
        <v>1392</v>
      </c>
      <c r="C603" s="68" t="s">
        <v>66</v>
      </c>
      <c r="D603" s="68" t="s">
        <v>1393</v>
      </c>
      <c r="E603" s="68" t="s">
        <v>19</v>
      </c>
      <c r="F603" s="69">
        <v>45953.495138888888</v>
      </c>
      <c r="G603" s="68">
        <v>1987</v>
      </c>
      <c r="H603" s="68" t="s">
        <v>14</v>
      </c>
      <c r="I603" s="70"/>
      <c r="J603" s="68">
        <v>1793</v>
      </c>
      <c r="K603" s="81" t="str">
        <f t="shared" si="23"/>
        <v/>
      </c>
      <c r="L603" s="68" t="s">
        <v>165</v>
      </c>
      <c r="M603" s="71"/>
      <c r="O603" s="16" t="str">
        <f t="shared" si="24"/>
        <v/>
      </c>
    </row>
    <row r="604" spans="1:15" ht="15" customHeight="1" x14ac:dyDescent="0.3">
      <c r="A604" s="67" t="s">
        <v>17</v>
      </c>
      <c r="B604" s="10" t="s">
        <v>1543</v>
      </c>
      <c r="C604" s="68" t="s">
        <v>172</v>
      </c>
      <c r="D604" s="68" t="s">
        <v>1544</v>
      </c>
      <c r="E604" s="68" t="s">
        <v>19</v>
      </c>
      <c r="F604" s="69">
        <v>45954.544444444444</v>
      </c>
      <c r="G604" s="68">
        <v>1989</v>
      </c>
      <c r="H604" s="68" t="s">
        <v>14</v>
      </c>
      <c r="I604" s="79">
        <v>46029.619131944448</v>
      </c>
      <c r="J604" s="68">
        <v>1794</v>
      </c>
      <c r="K604" s="81" t="str">
        <f t="shared" si="23"/>
        <v>OUI</v>
      </c>
      <c r="L604" s="68" t="s">
        <v>16</v>
      </c>
      <c r="M604" s="71" t="s">
        <v>1545</v>
      </c>
      <c r="O604" s="16" t="str">
        <f t="shared" si="24"/>
        <v>OUI</v>
      </c>
    </row>
    <row r="605" spans="1:15" ht="15" customHeight="1" x14ac:dyDescent="0.3">
      <c r="A605" s="67" t="s">
        <v>17</v>
      </c>
      <c r="B605" s="10" t="s">
        <v>1543</v>
      </c>
      <c r="C605" s="68" t="s">
        <v>172</v>
      </c>
      <c r="D605" s="68" t="s">
        <v>1546</v>
      </c>
      <c r="E605" s="68" t="s">
        <v>19</v>
      </c>
      <c r="F605" s="69">
        <v>45954.564583333333</v>
      </c>
      <c r="G605" s="68">
        <v>1991</v>
      </c>
      <c r="H605" s="68" t="s">
        <v>14</v>
      </c>
      <c r="I605" s="70"/>
      <c r="J605" s="68">
        <v>1795</v>
      </c>
      <c r="K605" s="81" t="str">
        <f t="shared" si="23"/>
        <v/>
      </c>
      <c r="L605" s="68" t="s">
        <v>16</v>
      </c>
      <c r="M605" s="71"/>
      <c r="O605" s="16" t="str">
        <f t="shared" si="24"/>
        <v/>
      </c>
    </row>
    <row r="606" spans="1:15" ht="15" customHeight="1" x14ac:dyDescent="0.3">
      <c r="A606" s="67" t="s">
        <v>17</v>
      </c>
      <c r="B606" s="10" t="s">
        <v>1543</v>
      </c>
      <c r="C606" s="68" t="s">
        <v>172</v>
      </c>
      <c r="D606" s="68" t="s">
        <v>1547</v>
      </c>
      <c r="E606" s="68" t="s">
        <v>19</v>
      </c>
      <c r="F606" s="69">
        <v>45954.588888888888</v>
      </c>
      <c r="G606" s="68">
        <v>1993</v>
      </c>
      <c r="H606" s="68" t="s">
        <v>14</v>
      </c>
      <c r="I606" s="70"/>
      <c r="J606" s="68">
        <v>1796</v>
      </c>
      <c r="K606" s="81" t="str">
        <f t="shared" si="23"/>
        <v/>
      </c>
      <c r="L606" s="68" t="s">
        <v>16</v>
      </c>
      <c r="M606" s="71"/>
      <c r="O606" s="16" t="str">
        <f t="shared" si="24"/>
        <v/>
      </c>
    </row>
    <row r="607" spans="1:15" ht="15" customHeight="1" x14ac:dyDescent="0.3">
      <c r="A607" s="67" t="s">
        <v>17</v>
      </c>
      <c r="B607" s="10" t="s">
        <v>1543</v>
      </c>
      <c r="C607" s="68" t="s">
        <v>172</v>
      </c>
      <c r="D607" s="68" t="s">
        <v>1548</v>
      </c>
      <c r="E607" s="68" t="s">
        <v>19</v>
      </c>
      <c r="F607" s="69">
        <v>45954.615972222222</v>
      </c>
      <c r="G607" s="68">
        <v>1995</v>
      </c>
      <c r="H607" s="68" t="s">
        <v>14</v>
      </c>
      <c r="I607" s="70"/>
      <c r="J607" s="68">
        <v>1797</v>
      </c>
      <c r="K607" s="81" t="str">
        <f t="shared" si="23"/>
        <v/>
      </c>
      <c r="L607" s="68" t="s">
        <v>16</v>
      </c>
      <c r="M607" s="71"/>
      <c r="O607" s="16" t="str">
        <f t="shared" si="24"/>
        <v/>
      </c>
    </row>
    <row r="608" spans="1:15" ht="15" customHeight="1" x14ac:dyDescent="0.3">
      <c r="A608" s="67" t="s">
        <v>34</v>
      </c>
      <c r="B608" s="91" t="s">
        <v>1549</v>
      </c>
      <c r="C608" s="68" t="s">
        <v>36</v>
      </c>
      <c r="D608" s="68" t="s">
        <v>1550</v>
      </c>
      <c r="E608" s="68" t="s">
        <v>38</v>
      </c>
      <c r="F608" s="69">
        <v>45954.831944444442</v>
      </c>
      <c r="G608" s="68">
        <v>1997</v>
      </c>
      <c r="H608" s="68" t="s">
        <v>14</v>
      </c>
      <c r="I608" s="79">
        <v>46001.565347222226</v>
      </c>
      <c r="J608" s="68">
        <v>1798</v>
      </c>
      <c r="K608" s="81" t="str">
        <f t="shared" si="23"/>
        <v>OUI</v>
      </c>
      <c r="L608" s="68" t="s">
        <v>16</v>
      </c>
      <c r="M608" s="71" t="s">
        <v>1551</v>
      </c>
      <c r="O608" s="16" t="str">
        <f t="shared" si="24"/>
        <v>OUI</v>
      </c>
    </row>
    <row r="609" spans="1:15" ht="15" customHeight="1" x14ac:dyDescent="0.3">
      <c r="A609" s="72" t="s">
        <v>17</v>
      </c>
      <c r="B609" s="10" t="s">
        <v>1543</v>
      </c>
      <c r="C609" s="73" t="s">
        <v>172</v>
      </c>
      <c r="D609" s="73" t="s">
        <v>1290</v>
      </c>
      <c r="E609" s="73" t="s">
        <v>19</v>
      </c>
      <c r="F609" s="74">
        <v>45954.923611111109</v>
      </c>
      <c r="G609" s="73">
        <v>1999</v>
      </c>
      <c r="H609" s="73" t="s">
        <v>14</v>
      </c>
      <c r="I609" s="75"/>
      <c r="J609" s="73">
        <v>1799</v>
      </c>
      <c r="K609" s="81" t="str">
        <f t="shared" si="23"/>
        <v/>
      </c>
      <c r="L609" s="73" t="s">
        <v>165</v>
      </c>
      <c r="M609" s="76"/>
      <c r="O609" s="16" t="str">
        <f t="shared" si="24"/>
        <v/>
      </c>
    </row>
    <row r="610" spans="1:15" ht="15" customHeight="1" x14ac:dyDescent="0.3">
      <c r="A610" s="67" t="s">
        <v>17</v>
      </c>
      <c r="B610" s="10" t="s">
        <v>1543</v>
      </c>
      <c r="C610" s="68" t="s">
        <v>172</v>
      </c>
      <c r="D610" s="68" t="s">
        <v>1552</v>
      </c>
      <c r="E610" s="68" t="s">
        <v>19</v>
      </c>
      <c r="F610" s="69">
        <v>45957.398611111108</v>
      </c>
      <c r="G610" s="68">
        <v>2001</v>
      </c>
      <c r="H610" s="68" t="s">
        <v>14</v>
      </c>
      <c r="I610" s="70"/>
      <c r="J610" s="68">
        <v>1800</v>
      </c>
      <c r="K610" s="81" t="str">
        <f t="shared" si="23"/>
        <v/>
      </c>
      <c r="L610" s="68" t="s">
        <v>16</v>
      </c>
      <c r="M610" s="71"/>
      <c r="O610" s="16" t="str">
        <f t="shared" si="24"/>
        <v/>
      </c>
    </row>
    <row r="611" spans="1:15" ht="15" customHeight="1" x14ac:dyDescent="0.3">
      <c r="A611" s="72" t="s">
        <v>209</v>
      </c>
      <c r="B611" s="90" t="s">
        <v>1553</v>
      </c>
      <c r="C611" s="1" t="s">
        <v>1554</v>
      </c>
      <c r="D611" s="73" t="s">
        <v>1555</v>
      </c>
      <c r="E611" s="73" t="s">
        <v>57</v>
      </c>
      <c r="F611" s="74">
        <v>45957.426388888889</v>
      </c>
      <c r="G611" s="73">
        <v>2003</v>
      </c>
      <c r="H611" s="73" t="s">
        <v>14</v>
      </c>
      <c r="I611" s="75"/>
      <c r="J611" s="73">
        <v>1801</v>
      </c>
      <c r="K611" s="81" t="str">
        <f t="shared" si="23"/>
        <v/>
      </c>
      <c r="L611" s="73" t="s">
        <v>16</v>
      </c>
      <c r="M611" s="76"/>
      <c r="O611" s="16" t="str">
        <f t="shared" si="24"/>
        <v/>
      </c>
    </row>
    <row r="612" spans="1:15" ht="15" customHeight="1" x14ac:dyDescent="0.3">
      <c r="A612" s="72" t="s">
        <v>58</v>
      </c>
      <c r="B612" s="90" t="s">
        <v>1556</v>
      </c>
      <c r="C612" s="73" t="s">
        <v>919</v>
      </c>
      <c r="D612" s="73" t="s">
        <v>1557</v>
      </c>
      <c r="E612" s="73" t="s">
        <v>61</v>
      </c>
      <c r="F612" s="74">
        <v>45958.65</v>
      </c>
      <c r="G612" s="73">
        <v>2005</v>
      </c>
      <c r="H612" s="73" t="s">
        <v>14</v>
      </c>
      <c r="I612" s="75"/>
      <c r="J612" s="73">
        <v>1802</v>
      </c>
      <c r="K612" s="81" t="str">
        <f t="shared" si="23"/>
        <v/>
      </c>
      <c r="L612" s="73" t="s">
        <v>16</v>
      </c>
      <c r="M612" s="76"/>
      <c r="O612" s="16" t="str">
        <f t="shared" si="24"/>
        <v/>
      </c>
    </row>
    <row r="613" spans="1:15" ht="15" customHeight="1" x14ac:dyDescent="0.3">
      <c r="A613" s="72" t="s">
        <v>10</v>
      </c>
      <c r="B613" s="10" t="s">
        <v>1558</v>
      </c>
      <c r="C613" s="1" t="s">
        <v>47</v>
      </c>
      <c r="D613" s="73" t="s">
        <v>1559</v>
      </c>
      <c r="E613" s="73" t="s">
        <v>13</v>
      </c>
      <c r="F613" s="74">
        <v>45962.677083333336</v>
      </c>
      <c r="G613" s="73">
        <v>2007</v>
      </c>
      <c r="H613" s="73" t="s">
        <v>14</v>
      </c>
      <c r="I613" s="75"/>
      <c r="J613" s="73">
        <v>1803</v>
      </c>
      <c r="K613" s="81" t="str">
        <f t="shared" si="23"/>
        <v/>
      </c>
      <c r="L613" s="73" t="s">
        <v>16</v>
      </c>
      <c r="M613" s="76"/>
      <c r="O613" s="16" t="str">
        <f t="shared" si="24"/>
        <v/>
      </c>
    </row>
    <row r="614" spans="1:15" ht="15" customHeight="1" x14ac:dyDescent="0.3">
      <c r="A614" s="67" t="s">
        <v>10</v>
      </c>
      <c r="B614" s="10" t="s">
        <v>1560</v>
      </c>
      <c r="C614" s="1" t="s">
        <v>172</v>
      </c>
      <c r="D614" s="68" t="s">
        <v>1561</v>
      </c>
      <c r="E614" s="68" t="s">
        <v>13</v>
      </c>
      <c r="F614" s="69">
        <v>45965.600694444445</v>
      </c>
      <c r="G614" s="68">
        <v>2009</v>
      </c>
      <c r="H614" s="68" t="s">
        <v>14</v>
      </c>
      <c r="I614" s="70"/>
      <c r="J614" s="68">
        <v>1804</v>
      </c>
      <c r="K614" s="81" t="str">
        <f t="shared" si="23"/>
        <v/>
      </c>
      <c r="L614" s="68" t="s">
        <v>16</v>
      </c>
      <c r="M614" s="71"/>
      <c r="O614" s="16" t="str">
        <f t="shared" si="24"/>
        <v/>
      </c>
    </row>
    <row r="615" spans="1:15" ht="15" customHeight="1" x14ac:dyDescent="0.3">
      <c r="A615" s="67" t="s">
        <v>34</v>
      </c>
      <c r="B615" s="91" t="s">
        <v>1562</v>
      </c>
      <c r="C615" s="68" t="s">
        <v>88</v>
      </c>
      <c r="D615" s="68" t="s">
        <v>1563</v>
      </c>
      <c r="E615" s="68" t="s">
        <v>38</v>
      </c>
      <c r="F615" s="69">
        <v>45966.590277777781</v>
      </c>
      <c r="G615" s="68">
        <v>2012</v>
      </c>
      <c r="H615" s="68" t="s">
        <v>14</v>
      </c>
      <c r="I615" s="70"/>
      <c r="J615" s="68">
        <v>1806</v>
      </c>
      <c r="K615" s="81" t="str">
        <f t="shared" si="23"/>
        <v/>
      </c>
      <c r="L615" s="68" t="s">
        <v>16</v>
      </c>
      <c r="M615" s="71"/>
      <c r="O615" s="16" t="str">
        <f t="shared" si="24"/>
        <v/>
      </c>
    </row>
    <row r="616" spans="1:15" ht="15" customHeight="1" x14ac:dyDescent="0.3">
      <c r="A616" s="72" t="s">
        <v>34</v>
      </c>
      <c r="B616" s="90" t="s">
        <v>609</v>
      </c>
      <c r="C616" s="73" t="s">
        <v>172</v>
      </c>
      <c r="D616" s="73" t="s">
        <v>1564</v>
      </c>
      <c r="E616" s="73" t="s">
        <v>38</v>
      </c>
      <c r="F616" s="74">
        <v>45966.709722222222</v>
      </c>
      <c r="G616" s="73">
        <v>1807</v>
      </c>
      <c r="H616" s="73" t="s">
        <v>24</v>
      </c>
      <c r="I616" s="80">
        <v>45966.718055555553</v>
      </c>
      <c r="J616" s="73">
        <v>1807</v>
      </c>
      <c r="K616" s="81" t="str">
        <f t="shared" si="23"/>
        <v>OUI</v>
      </c>
      <c r="L616" s="73" t="s">
        <v>16</v>
      </c>
      <c r="M616" s="76" t="s">
        <v>1565</v>
      </c>
      <c r="N616" s="38">
        <v>45966</v>
      </c>
      <c r="O616" s="16" t="str">
        <f t="shared" si="24"/>
        <v>OUI</v>
      </c>
    </row>
    <row r="617" spans="1:15" ht="15" customHeight="1" x14ac:dyDescent="0.3">
      <c r="A617" s="72" t="s">
        <v>34</v>
      </c>
      <c r="B617" s="90" t="s">
        <v>1566</v>
      </c>
      <c r="C617" s="73" t="s">
        <v>294</v>
      </c>
      <c r="D617" s="73" t="s">
        <v>1567</v>
      </c>
      <c r="E617" s="73" t="s">
        <v>38</v>
      </c>
      <c r="F617" s="74">
        <v>45971.420138888891</v>
      </c>
      <c r="G617" s="73">
        <v>1808</v>
      </c>
      <c r="H617" s="73" t="s">
        <v>24</v>
      </c>
      <c r="I617" s="80">
        <v>45971.422222222223</v>
      </c>
      <c r="J617" s="73">
        <v>1808</v>
      </c>
      <c r="K617" s="81" t="str">
        <f t="shared" si="23"/>
        <v>OUI</v>
      </c>
      <c r="L617" s="73" t="s">
        <v>16</v>
      </c>
      <c r="M617" s="76" t="s">
        <v>1568</v>
      </c>
      <c r="N617" s="38">
        <v>45971</v>
      </c>
      <c r="O617" s="16" t="str">
        <f t="shared" si="24"/>
        <v>OUI</v>
      </c>
    </row>
    <row r="618" spans="1:15" ht="15" customHeight="1" x14ac:dyDescent="0.3">
      <c r="A618" s="72" t="s">
        <v>34</v>
      </c>
      <c r="B618" s="90" t="s">
        <v>1569</v>
      </c>
      <c r="C618" s="73" t="s">
        <v>47</v>
      </c>
      <c r="D618" s="73" t="s">
        <v>1570</v>
      </c>
      <c r="E618" s="73" t="s">
        <v>38</v>
      </c>
      <c r="F618" s="74">
        <v>45973.519444444442</v>
      </c>
      <c r="G618" s="73">
        <v>1809</v>
      </c>
      <c r="H618" s="73" t="s">
        <v>24</v>
      </c>
      <c r="I618" s="80">
        <v>45973.522222222222</v>
      </c>
      <c r="J618" s="73">
        <v>1809</v>
      </c>
      <c r="K618" s="81" t="str">
        <f t="shared" si="23"/>
        <v>OUI</v>
      </c>
      <c r="L618" s="73" t="s">
        <v>16</v>
      </c>
      <c r="M618" s="76" t="s">
        <v>1571</v>
      </c>
      <c r="N618" s="38">
        <v>45973</v>
      </c>
      <c r="O618" s="16" t="str">
        <f t="shared" si="24"/>
        <v>OUI</v>
      </c>
    </row>
    <row r="619" spans="1:15" ht="15" customHeight="1" x14ac:dyDescent="0.3">
      <c r="A619" s="67" t="s">
        <v>17</v>
      </c>
      <c r="B619" s="10" t="s">
        <v>1572</v>
      </c>
      <c r="C619" s="1" t="s">
        <v>93</v>
      </c>
      <c r="D619" s="68" t="s">
        <v>1573</v>
      </c>
      <c r="E619" s="68" t="s">
        <v>19</v>
      </c>
      <c r="F619" s="69">
        <v>45976.065972222219</v>
      </c>
      <c r="G619" s="68">
        <v>2014</v>
      </c>
      <c r="H619" s="68" t="s">
        <v>14</v>
      </c>
      <c r="I619" s="70"/>
      <c r="J619" s="68">
        <v>1810</v>
      </c>
      <c r="K619" s="81" t="str">
        <f t="shared" si="23"/>
        <v/>
      </c>
      <c r="L619" s="68" t="s">
        <v>16</v>
      </c>
      <c r="M619" s="71"/>
      <c r="O619" s="16" t="str">
        <f t="shared" si="24"/>
        <v/>
      </c>
    </row>
    <row r="620" spans="1:15" ht="15" customHeight="1" x14ac:dyDescent="0.3">
      <c r="A620" s="67" t="s">
        <v>34</v>
      </c>
      <c r="B620" s="91" t="s">
        <v>1574</v>
      </c>
      <c r="C620" s="68" t="s">
        <v>26</v>
      </c>
      <c r="D620" s="68" t="s">
        <v>1575</v>
      </c>
      <c r="E620" s="68" t="s">
        <v>38</v>
      </c>
      <c r="F620" s="69">
        <v>45977.554166666669</v>
      </c>
      <c r="G620" s="68">
        <v>2015</v>
      </c>
      <c r="H620" s="68" t="s">
        <v>24</v>
      </c>
      <c r="I620" s="70"/>
      <c r="J620" s="68">
        <v>1811</v>
      </c>
      <c r="K620" s="81" t="str">
        <f t="shared" si="23"/>
        <v/>
      </c>
      <c r="L620" s="68" t="s">
        <v>16</v>
      </c>
      <c r="M620" s="71"/>
      <c r="O620" s="16" t="str">
        <f t="shared" si="24"/>
        <v/>
      </c>
    </row>
    <row r="621" spans="1:15" ht="15" customHeight="1" x14ac:dyDescent="0.3">
      <c r="A621" s="67" t="s">
        <v>34</v>
      </c>
      <c r="B621" s="91" t="s">
        <v>1574</v>
      </c>
      <c r="C621" s="68" t="s">
        <v>26</v>
      </c>
      <c r="D621" s="68" t="s">
        <v>1576</v>
      </c>
      <c r="E621" s="68" t="s">
        <v>38</v>
      </c>
      <c r="F621" s="69">
        <v>45977.745138888888</v>
      </c>
      <c r="G621" s="68">
        <v>1812</v>
      </c>
      <c r="H621" s="68" t="s">
        <v>24</v>
      </c>
      <c r="I621" s="79">
        <v>45977.756249999999</v>
      </c>
      <c r="J621" s="68">
        <v>1812</v>
      </c>
      <c r="K621" s="81" t="str">
        <f t="shared" si="23"/>
        <v>OUI</v>
      </c>
      <c r="L621" s="68" t="s">
        <v>16</v>
      </c>
      <c r="M621" s="71" t="s">
        <v>1577</v>
      </c>
      <c r="N621" s="38">
        <v>45977</v>
      </c>
      <c r="O621" s="16" t="str">
        <f t="shared" si="24"/>
        <v>OUI</v>
      </c>
    </row>
    <row r="622" spans="1:15" ht="15" customHeight="1" x14ac:dyDescent="0.3">
      <c r="A622" s="67" t="s">
        <v>34</v>
      </c>
      <c r="B622" s="91" t="s">
        <v>1578</v>
      </c>
      <c r="C622" s="68" t="s">
        <v>88</v>
      </c>
      <c r="D622" s="68" t="s">
        <v>1579</v>
      </c>
      <c r="E622" s="68" t="s">
        <v>38</v>
      </c>
      <c r="F622" s="69">
        <v>45980.140972222223</v>
      </c>
      <c r="G622" s="68">
        <v>2018</v>
      </c>
      <c r="H622" s="68" t="s">
        <v>14</v>
      </c>
      <c r="I622" s="70"/>
      <c r="J622" s="68">
        <v>1814</v>
      </c>
      <c r="K622" s="81" t="str">
        <f t="shared" si="23"/>
        <v/>
      </c>
      <c r="L622" s="68" t="s">
        <v>16</v>
      </c>
      <c r="M622" s="71"/>
      <c r="O622" s="16" t="str">
        <f t="shared" si="24"/>
        <v/>
      </c>
    </row>
    <row r="623" spans="1:15" ht="15" customHeight="1" x14ac:dyDescent="0.3">
      <c r="A623" s="72" t="s">
        <v>34</v>
      </c>
      <c r="B623" s="90" t="s">
        <v>1580</v>
      </c>
      <c r="C623" s="73" t="s">
        <v>88</v>
      </c>
      <c r="D623" s="73" t="s">
        <v>1581</v>
      </c>
      <c r="E623" s="73" t="s">
        <v>38</v>
      </c>
      <c r="F623" s="74">
        <v>45980.463888888888</v>
      </c>
      <c r="G623" s="73">
        <v>2020</v>
      </c>
      <c r="H623" s="73" t="s">
        <v>14</v>
      </c>
      <c r="I623" s="75"/>
      <c r="J623" s="73">
        <v>1815</v>
      </c>
      <c r="K623" s="81" t="str">
        <f t="shared" si="23"/>
        <v/>
      </c>
      <c r="L623" s="73" t="s">
        <v>16</v>
      </c>
      <c r="M623" s="76"/>
      <c r="O623" s="16" t="str">
        <f t="shared" si="24"/>
        <v/>
      </c>
    </row>
    <row r="624" spans="1:15" ht="15" customHeight="1" x14ac:dyDescent="0.3">
      <c r="A624" s="67" t="s">
        <v>34</v>
      </c>
      <c r="B624" s="91" t="s">
        <v>1582</v>
      </c>
      <c r="C624" s="68" t="s">
        <v>226</v>
      </c>
      <c r="D624" s="68" t="s">
        <v>1583</v>
      </c>
      <c r="E624" s="68" t="s">
        <v>38</v>
      </c>
      <c r="F624" s="69">
        <v>45982.830555555556</v>
      </c>
      <c r="G624" s="68">
        <v>2022</v>
      </c>
      <c r="H624" s="68" t="s">
        <v>14</v>
      </c>
      <c r="I624" s="70"/>
      <c r="J624" s="68">
        <v>1816</v>
      </c>
      <c r="K624" s="81" t="str">
        <f t="shared" si="23"/>
        <v/>
      </c>
      <c r="L624" s="68" t="s">
        <v>16</v>
      </c>
      <c r="M624" s="71"/>
      <c r="O624" s="16" t="str">
        <f t="shared" si="24"/>
        <v/>
      </c>
    </row>
    <row r="625" spans="1:15" ht="15" customHeight="1" x14ac:dyDescent="0.3">
      <c r="A625" s="67" t="s">
        <v>34</v>
      </c>
      <c r="B625" s="91" t="s">
        <v>1582</v>
      </c>
      <c r="C625" s="68" t="s">
        <v>226</v>
      </c>
      <c r="D625" s="68" t="s">
        <v>1584</v>
      </c>
      <c r="E625" s="68" t="s">
        <v>38</v>
      </c>
      <c r="F625" s="69">
        <v>45982.833333333336</v>
      </c>
      <c r="G625" s="68">
        <v>2024</v>
      </c>
      <c r="H625" s="68" t="s">
        <v>14</v>
      </c>
      <c r="I625" s="70"/>
      <c r="J625" s="68">
        <v>1817</v>
      </c>
      <c r="K625" s="81" t="str">
        <f t="shared" si="23"/>
        <v/>
      </c>
      <c r="L625" s="68" t="s">
        <v>16</v>
      </c>
      <c r="M625" s="71"/>
      <c r="O625" s="16" t="str">
        <f t="shared" si="24"/>
        <v/>
      </c>
    </row>
    <row r="626" spans="1:15" ht="15" customHeight="1" x14ac:dyDescent="0.3">
      <c r="A626" s="67" t="s">
        <v>34</v>
      </c>
      <c r="B626" s="91" t="s">
        <v>1585</v>
      </c>
      <c r="C626" s="68" t="s">
        <v>226</v>
      </c>
      <c r="D626" s="68" t="s">
        <v>1586</v>
      </c>
      <c r="E626" s="68" t="s">
        <v>38</v>
      </c>
      <c r="F626" s="69">
        <v>45982.859027777777</v>
      </c>
      <c r="G626" s="68">
        <v>2026</v>
      </c>
      <c r="H626" s="68" t="s">
        <v>14</v>
      </c>
      <c r="I626" s="70"/>
      <c r="J626" s="68">
        <v>1818</v>
      </c>
      <c r="K626" s="81" t="str">
        <f t="shared" si="23"/>
        <v/>
      </c>
      <c r="L626" s="68" t="s">
        <v>16</v>
      </c>
      <c r="M626" s="71"/>
      <c r="O626" s="16" t="str">
        <f t="shared" si="24"/>
        <v/>
      </c>
    </row>
    <row r="627" spans="1:15" ht="15" customHeight="1" x14ac:dyDescent="0.3">
      <c r="A627" s="72" t="s">
        <v>34</v>
      </c>
      <c r="B627" s="90" t="s">
        <v>124</v>
      </c>
      <c r="C627" s="73" t="s">
        <v>26</v>
      </c>
      <c r="D627" s="73" t="s">
        <v>1587</v>
      </c>
      <c r="E627" s="73" t="s">
        <v>38</v>
      </c>
      <c r="F627" s="74">
        <v>45985.490277777775</v>
      </c>
      <c r="G627" s="73">
        <v>2028</v>
      </c>
      <c r="H627" s="73" t="s">
        <v>14</v>
      </c>
      <c r="I627" s="80">
        <v>45985.499305555553</v>
      </c>
      <c r="J627" s="73">
        <v>1819</v>
      </c>
      <c r="K627" s="81" t="str">
        <f t="shared" si="23"/>
        <v>OUI</v>
      </c>
      <c r="L627" s="73" t="s">
        <v>16</v>
      </c>
      <c r="M627" s="76" t="s">
        <v>1588</v>
      </c>
      <c r="N627" s="86"/>
      <c r="O627" s="16" t="str">
        <f t="shared" si="24"/>
        <v>OUI</v>
      </c>
    </row>
    <row r="628" spans="1:15" ht="15" customHeight="1" x14ac:dyDescent="0.3">
      <c r="A628" s="72" t="s">
        <v>34</v>
      </c>
      <c r="B628" s="90" t="s">
        <v>1589</v>
      </c>
      <c r="C628" s="73" t="s">
        <v>172</v>
      </c>
      <c r="D628" s="73" t="s">
        <v>1590</v>
      </c>
      <c r="E628" s="73" t="s">
        <v>38</v>
      </c>
      <c r="F628" s="74">
        <v>45986.42083333333</v>
      </c>
      <c r="G628" s="73">
        <v>2030</v>
      </c>
      <c r="H628" s="73" t="s">
        <v>14</v>
      </c>
      <c r="I628" s="75"/>
      <c r="J628" s="73">
        <v>1820</v>
      </c>
      <c r="K628" s="81" t="str">
        <f t="shared" si="23"/>
        <v/>
      </c>
      <c r="L628" s="73" t="s">
        <v>16</v>
      </c>
      <c r="M628" s="76"/>
      <c r="O628" s="16" t="str">
        <f t="shared" si="24"/>
        <v/>
      </c>
    </row>
    <row r="629" spans="1:15" ht="15" customHeight="1" x14ac:dyDescent="0.3">
      <c r="A629" s="72" t="s">
        <v>34</v>
      </c>
      <c r="B629" s="90" t="s">
        <v>1591</v>
      </c>
      <c r="C629" s="73" t="s">
        <v>88</v>
      </c>
      <c r="D629" s="73" t="s">
        <v>1592</v>
      </c>
      <c r="E629" s="73" t="s">
        <v>38</v>
      </c>
      <c r="F629" s="74">
        <v>45988.353472222225</v>
      </c>
      <c r="G629" s="73">
        <v>1821</v>
      </c>
      <c r="H629" s="73" t="s">
        <v>24</v>
      </c>
      <c r="I629" s="80">
        <v>45988.354861111111</v>
      </c>
      <c r="J629" s="73">
        <v>1821</v>
      </c>
      <c r="K629" s="81" t="str">
        <f t="shared" ref="K629:K692" si="25">IF(AND(NOT(ISBLANK(I629)), NOT(ISBLANK(M629))), "OUI", "")</f>
        <v>OUI</v>
      </c>
      <c r="L629" s="73" t="s">
        <v>16</v>
      </c>
      <c r="M629" s="76" t="s">
        <v>1593</v>
      </c>
      <c r="N629" s="38">
        <v>45988</v>
      </c>
      <c r="O629" s="16" t="str">
        <f t="shared" si="24"/>
        <v>OUI</v>
      </c>
    </row>
    <row r="630" spans="1:15" ht="15" customHeight="1" x14ac:dyDescent="0.3">
      <c r="A630" s="72" t="s">
        <v>209</v>
      </c>
      <c r="B630" s="90" t="s">
        <v>1594</v>
      </c>
      <c r="C630" s="73" t="s">
        <v>520</v>
      </c>
      <c r="D630" s="73" t="s">
        <v>1595</v>
      </c>
      <c r="E630" s="73" t="s">
        <v>57</v>
      </c>
      <c r="F630" s="74">
        <v>45989.57916666667</v>
      </c>
      <c r="G630" s="73">
        <v>2032</v>
      </c>
      <c r="H630" s="73" t="s">
        <v>14</v>
      </c>
      <c r="I630" s="80">
        <v>45989.812951388885</v>
      </c>
      <c r="J630" s="73">
        <v>1822</v>
      </c>
      <c r="K630" s="81" t="str">
        <f t="shared" si="25"/>
        <v>OUI</v>
      </c>
      <c r="L630" s="73" t="s">
        <v>16</v>
      </c>
      <c r="M630" s="76" t="s">
        <v>1596</v>
      </c>
      <c r="N630" s="38">
        <v>45978</v>
      </c>
      <c r="O630" s="16" t="str">
        <f t="shared" si="24"/>
        <v>OUI</v>
      </c>
    </row>
    <row r="631" spans="1:15" ht="15" customHeight="1" x14ac:dyDescent="0.3">
      <c r="A631" s="67" t="s">
        <v>10</v>
      </c>
      <c r="B631" s="10" t="s">
        <v>1597</v>
      </c>
      <c r="C631" s="1" t="s">
        <v>26</v>
      </c>
      <c r="D631" s="68" t="s">
        <v>1598</v>
      </c>
      <c r="E631" s="68" t="s">
        <v>13</v>
      </c>
      <c r="F631" s="69">
        <v>45990.968055555553</v>
      </c>
      <c r="G631" s="68">
        <v>1823</v>
      </c>
      <c r="H631" s="68" t="s">
        <v>24</v>
      </c>
      <c r="I631" s="79">
        <v>45990.97152777778</v>
      </c>
      <c r="J631" s="68">
        <v>1823</v>
      </c>
      <c r="K631" s="81" t="str">
        <f t="shared" si="25"/>
        <v>OUI</v>
      </c>
      <c r="L631" s="68" t="s">
        <v>16</v>
      </c>
      <c r="M631" s="71" t="s">
        <v>1599</v>
      </c>
      <c r="N631" s="38">
        <v>45990</v>
      </c>
      <c r="O631" s="16" t="str">
        <f t="shared" si="24"/>
        <v>OUI</v>
      </c>
    </row>
    <row r="632" spans="1:15" ht="15" customHeight="1" x14ac:dyDescent="0.3">
      <c r="A632" s="67" t="s">
        <v>34</v>
      </c>
      <c r="B632" s="91" t="s">
        <v>1600</v>
      </c>
      <c r="C632" s="68" t="s">
        <v>66</v>
      </c>
      <c r="D632" s="68" t="s">
        <v>1601</v>
      </c>
      <c r="E632" s="68" t="s">
        <v>38</v>
      </c>
      <c r="F632" s="69">
        <v>45991.565972222219</v>
      </c>
      <c r="G632" s="68">
        <v>2034</v>
      </c>
      <c r="H632" s="68" t="s">
        <v>14</v>
      </c>
      <c r="I632" s="70"/>
      <c r="J632" s="68">
        <v>1824</v>
      </c>
      <c r="K632" s="81" t="str">
        <f t="shared" si="25"/>
        <v/>
      </c>
      <c r="L632" s="68" t="s">
        <v>16</v>
      </c>
      <c r="M632" s="71"/>
      <c r="O632" s="16" t="str">
        <f t="shared" si="24"/>
        <v/>
      </c>
    </row>
    <row r="633" spans="1:15" ht="15" customHeight="1" x14ac:dyDescent="0.3">
      <c r="A633" s="72" t="s">
        <v>212</v>
      </c>
      <c r="B633" s="90" t="s">
        <v>1602</v>
      </c>
      <c r="C633" s="73" t="s">
        <v>172</v>
      </c>
      <c r="D633" s="73" t="s">
        <v>1603</v>
      </c>
      <c r="E633" s="73" t="s">
        <v>27</v>
      </c>
      <c r="F633" s="74">
        <v>45991.606249999997</v>
      </c>
      <c r="G633" s="73">
        <v>2036</v>
      </c>
      <c r="H633" s="73" t="s">
        <v>14</v>
      </c>
      <c r="I633" s="75"/>
      <c r="J633" s="73">
        <v>1825</v>
      </c>
      <c r="K633" s="81" t="str">
        <f t="shared" si="25"/>
        <v/>
      </c>
      <c r="L633" s="73" t="s">
        <v>16</v>
      </c>
      <c r="M633" s="76"/>
      <c r="O633" s="16" t="str">
        <f t="shared" si="24"/>
        <v/>
      </c>
    </row>
    <row r="634" spans="1:15" ht="15" customHeight="1" x14ac:dyDescent="0.3">
      <c r="A634" s="67" t="s">
        <v>34</v>
      </c>
      <c r="B634" s="91" t="s">
        <v>1604</v>
      </c>
      <c r="C634" s="68" t="s">
        <v>172</v>
      </c>
      <c r="D634" s="68" t="s">
        <v>1605</v>
      </c>
      <c r="E634" s="68" t="s">
        <v>38</v>
      </c>
      <c r="F634" s="69">
        <v>46000.697222222225</v>
      </c>
      <c r="G634" s="68">
        <v>2038</v>
      </c>
      <c r="H634" s="68" t="s">
        <v>14</v>
      </c>
      <c r="I634" s="70"/>
      <c r="J634" s="68">
        <v>1826</v>
      </c>
      <c r="K634" s="81" t="str">
        <f t="shared" si="25"/>
        <v/>
      </c>
      <c r="L634" s="68" t="s">
        <v>16</v>
      </c>
      <c r="M634" s="71"/>
      <c r="O634" s="16" t="str">
        <f t="shared" si="24"/>
        <v/>
      </c>
    </row>
    <row r="635" spans="1:15" ht="15" customHeight="1" x14ac:dyDescent="0.3">
      <c r="A635" s="67" t="s">
        <v>34</v>
      </c>
      <c r="B635" s="91" t="s">
        <v>1606</v>
      </c>
      <c r="C635" s="68" t="s">
        <v>172</v>
      </c>
      <c r="D635" s="68" t="s">
        <v>1607</v>
      </c>
      <c r="E635" s="68" t="s">
        <v>38</v>
      </c>
      <c r="F635" s="69">
        <v>46000.706250000003</v>
      </c>
      <c r="G635" s="68">
        <v>2040</v>
      </c>
      <c r="H635" s="68" t="s">
        <v>14</v>
      </c>
      <c r="I635" s="79">
        <v>46001.6403587963</v>
      </c>
      <c r="J635" s="68">
        <v>1827</v>
      </c>
      <c r="K635" s="81" t="str">
        <f t="shared" si="25"/>
        <v>OUI</v>
      </c>
      <c r="L635" s="68" t="s">
        <v>16</v>
      </c>
      <c r="M635" s="71" t="s">
        <v>1608</v>
      </c>
      <c r="O635" s="16" t="str">
        <f t="shared" si="24"/>
        <v>OUI</v>
      </c>
    </row>
    <row r="636" spans="1:15" ht="15" customHeight="1" x14ac:dyDescent="0.3">
      <c r="A636" s="67" t="s">
        <v>34</v>
      </c>
      <c r="B636" s="91" t="s">
        <v>1606</v>
      </c>
      <c r="C636" s="68" t="s">
        <v>172</v>
      </c>
      <c r="D636" s="68" t="s">
        <v>1609</v>
      </c>
      <c r="E636" s="68" t="s">
        <v>38</v>
      </c>
      <c r="F636" s="69">
        <v>46000.709027777775</v>
      </c>
      <c r="G636" s="68">
        <v>2042</v>
      </c>
      <c r="H636" s="68" t="s">
        <v>14</v>
      </c>
      <c r="I636" s="79">
        <v>46006.500844907408</v>
      </c>
      <c r="J636" s="68">
        <v>1828</v>
      </c>
      <c r="K636" s="81" t="str">
        <f t="shared" si="25"/>
        <v>OUI</v>
      </c>
      <c r="L636" s="68" t="s">
        <v>16</v>
      </c>
      <c r="M636" s="71" t="s">
        <v>1610</v>
      </c>
      <c r="O636" s="16" t="str">
        <f t="shared" si="24"/>
        <v>OUI</v>
      </c>
    </row>
    <row r="637" spans="1:15" ht="15" customHeight="1" x14ac:dyDescent="0.3">
      <c r="A637" s="67" t="s">
        <v>34</v>
      </c>
      <c r="B637" s="91" t="s">
        <v>1606</v>
      </c>
      <c r="C637" s="68" t="s">
        <v>172</v>
      </c>
      <c r="D637" s="68" t="s">
        <v>1611</v>
      </c>
      <c r="E637" s="68" t="s">
        <v>38</v>
      </c>
      <c r="F637" s="69">
        <v>46000.711111111108</v>
      </c>
      <c r="G637" s="68">
        <v>2044</v>
      </c>
      <c r="H637" s="68" t="s">
        <v>14</v>
      </c>
      <c r="I637" s="79">
        <v>46006.501446759263</v>
      </c>
      <c r="J637" s="68">
        <v>1829</v>
      </c>
      <c r="K637" s="81" t="str">
        <f t="shared" si="25"/>
        <v>OUI</v>
      </c>
      <c r="L637" s="68" t="s">
        <v>16</v>
      </c>
      <c r="M637" s="71" t="s">
        <v>1612</v>
      </c>
      <c r="O637" s="16" t="str">
        <f t="shared" si="24"/>
        <v>OUI</v>
      </c>
    </row>
    <row r="638" spans="1:15" ht="15" customHeight="1" x14ac:dyDescent="0.3">
      <c r="A638" s="67" t="s">
        <v>34</v>
      </c>
      <c r="B638" s="91" t="s">
        <v>1606</v>
      </c>
      <c r="C638" s="68" t="s">
        <v>172</v>
      </c>
      <c r="D638" s="68" t="s">
        <v>1613</v>
      </c>
      <c r="E638" s="68" t="s">
        <v>38</v>
      </c>
      <c r="F638" s="69">
        <v>46000.713194444441</v>
      </c>
      <c r="G638" s="68">
        <v>2046</v>
      </c>
      <c r="H638" s="68" t="s">
        <v>14</v>
      </c>
      <c r="I638" s="79">
        <v>46006.50203703704</v>
      </c>
      <c r="J638" s="68">
        <v>1830</v>
      </c>
      <c r="K638" s="81" t="str">
        <f t="shared" si="25"/>
        <v>OUI</v>
      </c>
      <c r="L638" s="68" t="s">
        <v>16</v>
      </c>
      <c r="M638" s="71" t="s">
        <v>1614</v>
      </c>
      <c r="O638" s="16" t="str">
        <f t="shared" si="24"/>
        <v>OUI</v>
      </c>
    </row>
    <row r="639" spans="1:15" ht="15" customHeight="1" x14ac:dyDescent="0.3">
      <c r="A639" s="67" t="s">
        <v>34</v>
      </c>
      <c r="B639" s="91" t="s">
        <v>1606</v>
      </c>
      <c r="C639" s="68" t="s">
        <v>172</v>
      </c>
      <c r="D639" s="68" t="s">
        <v>1615</v>
      </c>
      <c r="E639" s="68" t="s">
        <v>38</v>
      </c>
      <c r="F639" s="69">
        <v>46000.715277777781</v>
      </c>
      <c r="G639" s="68">
        <v>2048</v>
      </c>
      <c r="H639" s="68" t="s">
        <v>14</v>
      </c>
      <c r="I639" s="79">
        <v>46006.50273148148</v>
      </c>
      <c r="J639" s="68">
        <v>1831</v>
      </c>
      <c r="K639" s="81" t="str">
        <f t="shared" si="25"/>
        <v>OUI</v>
      </c>
      <c r="L639" s="68" t="s">
        <v>16</v>
      </c>
      <c r="M639" s="71" t="s">
        <v>1616</v>
      </c>
      <c r="O639" s="16" t="str">
        <f t="shared" si="24"/>
        <v>OUI</v>
      </c>
    </row>
    <row r="640" spans="1:15" ht="15" customHeight="1" x14ac:dyDescent="0.3">
      <c r="A640" s="67" t="s">
        <v>34</v>
      </c>
      <c r="B640" s="91" t="s">
        <v>1606</v>
      </c>
      <c r="C640" s="68" t="s">
        <v>172</v>
      </c>
      <c r="D640" s="68" t="s">
        <v>1617</v>
      </c>
      <c r="E640" s="68" t="s">
        <v>38</v>
      </c>
      <c r="F640" s="69">
        <v>46001.556250000001</v>
      </c>
      <c r="G640" s="68">
        <v>2050</v>
      </c>
      <c r="H640" s="68" t="s">
        <v>14</v>
      </c>
      <c r="I640" s="79">
        <v>46006.503194444442</v>
      </c>
      <c r="J640" s="68">
        <v>1832</v>
      </c>
      <c r="K640" s="81" t="str">
        <f t="shared" si="25"/>
        <v>OUI</v>
      </c>
      <c r="L640" s="68" t="s">
        <v>16</v>
      </c>
      <c r="M640" s="71" t="s">
        <v>1618</v>
      </c>
      <c r="O640" s="16" t="str">
        <f t="shared" si="24"/>
        <v>OUI</v>
      </c>
    </row>
    <row r="641" spans="1:15" ht="15" customHeight="1" x14ac:dyDescent="0.3">
      <c r="A641" s="67" t="s">
        <v>34</v>
      </c>
      <c r="B641" s="91" t="s">
        <v>1606</v>
      </c>
      <c r="C641" s="68" t="s">
        <v>172</v>
      </c>
      <c r="D641" s="68" t="s">
        <v>1619</v>
      </c>
      <c r="E641" s="68" t="s">
        <v>38</v>
      </c>
      <c r="F641" s="69">
        <v>46001.559027777781</v>
      </c>
      <c r="G641" s="68">
        <v>2052</v>
      </c>
      <c r="H641" s="68" t="s">
        <v>14</v>
      </c>
      <c r="I641" s="79">
        <v>46006.503784722219</v>
      </c>
      <c r="J641" s="68">
        <v>1833</v>
      </c>
      <c r="K641" s="81" t="str">
        <f t="shared" si="25"/>
        <v>OUI</v>
      </c>
      <c r="L641" s="68" t="s">
        <v>16</v>
      </c>
      <c r="M641" s="71" t="s">
        <v>1620</v>
      </c>
      <c r="O641" s="16" t="str">
        <f t="shared" si="24"/>
        <v>OUI</v>
      </c>
    </row>
    <row r="642" spans="1:15" ht="15" customHeight="1" x14ac:dyDescent="0.3">
      <c r="A642" s="67" t="s">
        <v>34</v>
      </c>
      <c r="B642" s="91" t="s">
        <v>1606</v>
      </c>
      <c r="C642" s="68" t="s">
        <v>172</v>
      </c>
      <c r="D642" s="68" t="s">
        <v>1621</v>
      </c>
      <c r="E642" s="68" t="s">
        <v>38</v>
      </c>
      <c r="F642" s="69">
        <v>46001.561111111114</v>
      </c>
      <c r="G642" s="68">
        <v>2054</v>
      </c>
      <c r="H642" s="68" t="s">
        <v>14</v>
      </c>
      <c r="I642" s="79">
        <v>46006.504386574074</v>
      </c>
      <c r="J642" s="68">
        <v>1834</v>
      </c>
      <c r="K642" s="81" t="str">
        <f t="shared" si="25"/>
        <v>OUI</v>
      </c>
      <c r="L642" s="68" t="s">
        <v>16</v>
      </c>
      <c r="M642" s="71" t="s">
        <v>1622</v>
      </c>
      <c r="O642" s="16" t="str">
        <f t="shared" si="24"/>
        <v>OUI</v>
      </c>
    </row>
    <row r="643" spans="1:15" ht="15" customHeight="1" x14ac:dyDescent="0.3">
      <c r="A643" s="67" t="s">
        <v>34</v>
      </c>
      <c r="B643" s="91" t="s">
        <v>1606</v>
      </c>
      <c r="C643" s="68" t="s">
        <v>172</v>
      </c>
      <c r="D643" s="68" t="s">
        <v>1623</v>
      </c>
      <c r="E643" s="68" t="s">
        <v>38</v>
      </c>
      <c r="F643" s="69">
        <v>46001.563194444447</v>
      </c>
      <c r="G643" s="68">
        <v>2056</v>
      </c>
      <c r="H643" s="68" t="s">
        <v>14</v>
      </c>
      <c r="I643" s="79">
        <v>46006.504895833335</v>
      </c>
      <c r="J643" s="68">
        <v>1835</v>
      </c>
      <c r="K643" s="81" t="str">
        <f t="shared" si="25"/>
        <v>OUI</v>
      </c>
      <c r="L643" s="68" t="s">
        <v>16</v>
      </c>
      <c r="M643" s="71" t="s">
        <v>1624</v>
      </c>
      <c r="O643" s="16" t="str">
        <f t="shared" si="24"/>
        <v>OUI</v>
      </c>
    </row>
    <row r="644" spans="1:15" ht="15" customHeight="1" x14ac:dyDescent="0.3">
      <c r="A644" s="67" t="s">
        <v>34</v>
      </c>
      <c r="B644" s="91" t="s">
        <v>1606</v>
      </c>
      <c r="C644" s="68" t="s">
        <v>172</v>
      </c>
      <c r="D644" s="68" t="s">
        <v>1625</v>
      </c>
      <c r="E644" s="68" t="s">
        <v>38</v>
      </c>
      <c r="F644" s="69">
        <v>46001.568055555559</v>
      </c>
      <c r="G644" s="68">
        <v>2058</v>
      </c>
      <c r="H644" s="68" t="s">
        <v>14</v>
      </c>
      <c r="I644" s="79">
        <v>46006.505381944444</v>
      </c>
      <c r="J644" s="68">
        <v>1836</v>
      </c>
      <c r="K644" s="81" t="str">
        <f t="shared" si="25"/>
        <v>OUI</v>
      </c>
      <c r="L644" s="68" t="s">
        <v>16</v>
      </c>
      <c r="M644" s="71" t="s">
        <v>1626</v>
      </c>
      <c r="O644" s="16" t="str">
        <f t="shared" si="24"/>
        <v>OUI</v>
      </c>
    </row>
    <row r="645" spans="1:15" ht="15" customHeight="1" x14ac:dyDescent="0.3">
      <c r="A645" s="67" t="s">
        <v>34</v>
      </c>
      <c r="B645" s="91" t="s">
        <v>1606</v>
      </c>
      <c r="C645" s="68" t="s">
        <v>172</v>
      </c>
      <c r="D645" s="68" t="s">
        <v>1627</v>
      </c>
      <c r="E645" s="68" t="s">
        <v>38</v>
      </c>
      <c r="F645" s="69">
        <v>46001.571527777778</v>
      </c>
      <c r="G645" s="68">
        <v>2060</v>
      </c>
      <c r="H645" s="68" t="s">
        <v>14</v>
      </c>
      <c r="I645" s="79">
        <v>46006.506863425922</v>
      </c>
      <c r="J645" s="68">
        <v>1837</v>
      </c>
      <c r="K645" s="81" t="str">
        <f t="shared" si="25"/>
        <v>OUI</v>
      </c>
      <c r="L645" s="68" t="s">
        <v>16</v>
      </c>
      <c r="M645" s="71" t="s">
        <v>1628</v>
      </c>
      <c r="O645" s="16" t="str">
        <f t="shared" si="24"/>
        <v>OUI</v>
      </c>
    </row>
    <row r="646" spans="1:15" ht="15" customHeight="1" x14ac:dyDescent="0.3">
      <c r="A646" s="67" t="s">
        <v>34</v>
      </c>
      <c r="B646" s="91" t="s">
        <v>1606</v>
      </c>
      <c r="C646" s="68" t="s">
        <v>172</v>
      </c>
      <c r="D646" s="68" t="s">
        <v>1629</v>
      </c>
      <c r="E646" s="68" t="s">
        <v>38</v>
      </c>
      <c r="F646" s="69">
        <v>46001.572916666664</v>
      </c>
      <c r="G646" s="68">
        <v>2062</v>
      </c>
      <c r="H646" s="68" t="s">
        <v>14</v>
      </c>
      <c r="I646" s="79">
        <v>46006.509467592594</v>
      </c>
      <c r="J646" s="68">
        <v>1838</v>
      </c>
      <c r="K646" s="81" t="str">
        <f t="shared" si="25"/>
        <v>OUI</v>
      </c>
      <c r="L646" s="68" t="s">
        <v>16</v>
      </c>
      <c r="M646" s="71" t="s">
        <v>1630</v>
      </c>
      <c r="O646" s="16" t="str">
        <f t="shared" si="24"/>
        <v>OUI</v>
      </c>
    </row>
    <row r="647" spans="1:15" ht="15" customHeight="1" x14ac:dyDescent="0.3">
      <c r="A647" s="72" t="s">
        <v>34</v>
      </c>
      <c r="B647" s="90" t="s">
        <v>1606</v>
      </c>
      <c r="C647" s="73" t="s">
        <v>172</v>
      </c>
      <c r="D647" s="73" t="s">
        <v>1631</v>
      </c>
      <c r="E647" s="73" t="s">
        <v>38</v>
      </c>
      <c r="F647" s="74">
        <v>46001.576388888891</v>
      </c>
      <c r="G647" s="73">
        <v>2064</v>
      </c>
      <c r="H647" s="73" t="s">
        <v>14</v>
      </c>
      <c r="I647" s="80">
        <v>46006.508101851854</v>
      </c>
      <c r="J647" s="73">
        <v>1839</v>
      </c>
      <c r="K647" s="81" t="str">
        <f t="shared" si="25"/>
        <v>OUI</v>
      </c>
      <c r="L647" s="73" t="s">
        <v>16</v>
      </c>
      <c r="M647" s="76" t="s">
        <v>1632</v>
      </c>
      <c r="O647" s="16" t="str">
        <f t="shared" si="24"/>
        <v>OUI</v>
      </c>
    </row>
    <row r="648" spans="1:15" ht="15" customHeight="1" x14ac:dyDescent="0.3">
      <c r="A648" s="67" t="s">
        <v>34</v>
      </c>
      <c r="B648" s="91" t="s">
        <v>1606</v>
      </c>
      <c r="C648" s="68" t="s">
        <v>172</v>
      </c>
      <c r="D648" s="68" t="s">
        <v>1633</v>
      </c>
      <c r="E648" s="68" t="s">
        <v>38</v>
      </c>
      <c r="F648" s="69">
        <v>46001.579861111109</v>
      </c>
      <c r="G648" s="68">
        <v>2066</v>
      </c>
      <c r="H648" s="68" t="s">
        <v>14</v>
      </c>
      <c r="I648" s="79">
        <v>46006.508634259262</v>
      </c>
      <c r="J648" s="68">
        <v>1840</v>
      </c>
      <c r="K648" s="81" t="str">
        <f t="shared" si="25"/>
        <v>OUI</v>
      </c>
      <c r="L648" s="68" t="s">
        <v>16</v>
      </c>
      <c r="M648" s="71" t="s">
        <v>1634</v>
      </c>
      <c r="O648" s="16" t="str">
        <f t="shared" si="24"/>
        <v>OUI</v>
      </c>
    </row>
    <row r="649" spans="1:15" ht="15" customHeight="1" x14ac:dyDescent="0.3">
      <c r="A649" s="67" t="s">
        <v>34</v>
      </c>
      <c r="B649" s="91" t="s">
        <v>1606</v>
      </c>
      <c r="C649" s="68" t="s">
        <v>172</v>
      </c>
      <c r="D649" s="68" t="s">
        <v>1635</v>
      </c>
      <c r="E649" s="68" t="s">
        <v>38</v>
      </c>
      <c r="F649" s="69">
        <v>46001.582638888889</v>
      </c>
      <c r="G649" s="68">
        <v>2068</v>
      </c>
      <c r="H649" s="68" t="s">
        <v>14</v>
      </c>
      <c r="I649" s="79">
        <v>46006.510196759256</v>
      </c>
      <c r="J649" s="68">
        <v>1841</v>
      </c>
      <c r="K649" s="81" t="str">
        <f t="shared" si="25"/>
        <v>OUI</v>
      </c>
      <c r="L649" s="68" t="s">
        <v>16</v>
      </c>
      <c r="M649" s="71" t="s">
        <v>1636</v>
      </c>
      <c r="O649" s="16" t="str">
        <f t="shared" si="24"/>
        <v>OUI</v>
      </c>
    </row>
    <row r="650" spans="1:15" ht="15" customHeight="1" x14ac:dyDescent="0.3">
      <c r="A650" s="67" t="s">
        <v>34</v>
      </c>
      <c r="B650" s="91" t="s">
        <v>1606</v>
      </c>
      <c r="C650" s="68" t="s">
        <v>172</v>
      </c>
      <c r="D650" s="68" t="s">
        <v>1637</v>
      </c>
      <c r="E650" s="68" t="s">
        <v>38</v>
      </c>
      <c r="F650" s="69">
        <v>46001.584722222222</v>
      </c>
      <c r="G650" s="68">
        <v>2070</v>
      </c>
      <c r="H650" s="68" t="s">
        <v>14</v>
      </c>
      <c r="I650" s="79">
        <v>46006.510659722226</v>
      </c>
      <c r="J650" s="68">
        <v>1842</v>
      </c>
      <c r="K650" s="81" t="str">
        <f t="shared" si="25"/>
        <v>OUI</v>
      </c>
      <c r="L650" s="68" t="s">
        <v>16</v>
      </c>
      <c r="M650" s="71" t="s">
        <v>1638</v>
      </c>
      <c r="O650" s="16" t="str">
        <f t="shared" si="24"/>
        <v>OUI</v>
      </c>
    </row>
    <row r="651" spans="1:15" ht="15" customHeight="1" x14ac:dyDescent="0.3">
      <c r="A651" s="67" t="s">
        <v>34</v>
      </c>
      <c r="B651" s="91" t="s">
        <v>1606</v>
      </c>
      <c r="C651" s="68" t="s">
        <v>172</v>
      </c>
      <c r="D651" s="68" t="s">
        <v>1639</v>
      </c>
      <c r="E651" s="68" t="s">
        <v>38</v>
      </c>
      <c r="F651" s="69">
        <v>46001.602083333331</v>
      </c>
      <c r="G651" s="68">
        <v>2072</v>
      </c>
      <c r="H651" s="68" t="s">
        <v>14</v>
      </c>
      <c r="I651" s="79">
        <v>46006.511180555557</v>
      </c>
      <c r="J651" s="68">
        <v>1843</v>
      </c>
      <c r="K651" s="81" t="str">
        <f t="shared" si="25"/>
        <v>OUI</v>
      </c>
      <c r="L651" s="68" t="s">
        <v>16</v>
      </c>
      <c r="M651" s="71" t="s">
        <v>1640</v>
      </c>
      <c r="O651" s="16" t="str">
        <f t="shared" si="24"/>
        <v>OUI</v>
      </c>
    </row>
    <row r="652" spans="1:15" ht="15" customHeight="1" x14ac:dyDescent="0.3">
      <c r="A652" s="67" t="s">
        <v>34</v>
      </c>
      <c r="B652" s="91" t="s">
        <v>1641</v>
      </c>
      <c r="C652" s="68" t="s">
        <v>172</v>
      </c>
      <c r="D652" s="68" t="s">
        <v>1642</v>
      </c>
      <c r="E652" s="68" t="s">
        <v>38</v>
      </c>
      <c r="F652" s="69">
        <v>46001.61041666667</v>
      </c>
      <c r="G652" s="68">
        <v>2074</v>
      </c>
      <c r="H652" s="68" t="s">
        <v>14</v>
      </c>
      <c r="I652" s="79">
        <v>46001.643750000003</v>
      </c>
      <c r="J652" s="68">
        <v>1844</v>
      </c>
      <c r="K652" s="81" t="str">
        <f t="shared" si="25"/>
        <v>OUI</v>
      </c>
      <c r="L652" s="68" t="s">
        <v>16</v>
      </c>
      <c r="M652" s="71" t="s">
        <v>1643</v>
      </c>
      <c r="O652" s="16" t="str">
        <f t="shared" ref="O652:O715" si="26">IF(AND(ISBLANK(I652), ISBLANK(N652)), "", "OUI")</f>
        <v>OUI</v>
      </c>
    </row>
    <row r="653" spans="1:15" ht="15" customHeight="1" x14ac:dyDescent="0.3">
      <c r="A653" s="67" t="s">
        <v>34</v>
      </c>
      <c r="B653" s="91" t="s">
        <v>1644</v>
      </c>
      <c r="C653" s="68" t="s">
        <v>172</v>
      </c>
      <c r="D653" s="68" t="s">
        <v>1645</v>
      </c>
      <c r="E653" s="68" t="s">
        <v>38</v>
      </c>
      <c r="F653" s="69">
        <v>46001.640972222223</v>
      </c>
      <c r="G653" s="68">
        <v>2076</v>
      </c>
      <c r="H653" s="68" t="s">
        <v>14</v>
      </c>
      <c r="I653" s="79">
        <v>46001.644444444442</v>
      </c>
      <c r="J653" s="68">
        <v>1845</v>
      </c>
      <c r="K653" s="81" t="str">
        <f t="shared" si="25"/>
        <v>OUI</v>
      </c>
      <c r="L653" s="68" t="s">
        <v>16</v>
      </c>
      <c r="M653" s="71" t="s">
        <v>1646</v>
      </c>
      <c r="O653" s="16" t="str">
        <f t="shared" si="26"/>
        <v>OUI</v>
      </c>
    </row>
    <row r="654" spans="1:15" ht="15" customHeight="1" x14ac:dyDescent="0.3">
      <c r="A654" s="72" t="s">
        <v>34</v>
      </c>
      <c r="B654" s="90" t="s">
        <v>1644</v>
      </c>
      <c r="C654" s="73" t="s">
        <v>172</v>
      </c>
      <c r="D654" s="73" t="s">
        <v>1647</v>
      </c>
      <c r="E654" s="73" t="s">
        <v>38</v>
      </c>
      <c r="F654" s="74">
        <v>46001.662499999999</v>
      </c>
      <c r="G654" s="73">
        <v>2078</v>
      </c>
      <c r="H654" s="73" t="s">
        <v>14</v>
      </c>
      <c r="I654" s="80">
        <v>46034.4455787037</v>
      </c>
      <c r="J654" s="73">
        <v>1846</v>
      </c>
      <c r="K654" s="81" t="str">
        <f t="shared" si="25"/>
        <v>OUI</v>
      </c>
      <c r="L654" s="73" t="s">
        <v>16</v>
      </c>
      <c r="M654" s="76" t="s">
        <v>1648</v>
      </c>
      <c r="O654" s="16" t="str">
        <f t="shared" si="26"/>
        <v>OUI</v>
      </c>
    </row>
    <row r="655" spans="1:15" ht="15" customHeight="1" x14ac:dyDescent="0.3">
      <c r="A655" s="67" t="s">
        <v>34</v>
      </c>
      <c r="B655" s="91" t="s">
        <v>1471</v>
      </c>
      <c r="C655" s="68" t="s">
        <v>47</v>
      </c>
      <c r="D655" s="68" t="s">
        <v>1472</v>
      </c>
      <c r="E655" s="68" t="s">
        <v>38</v>
      </c>
      <c r="F655" s="69">
        <v>46001.9375</v>
      </c>
      <c r="G655" s="68">
        <v>1847</v>
      </c>
      <c r="H655" s="68" t="s">
        <v>24</v>
      </c>
      <c r="I655" s="79">
        <v>46001.939583333333</v>
      </c>
      <c r="J655" s="68">
        <v>1847</v>
      </c>
      <c r="K655" s="81" t="str">
        <f t="shared" si="25"/>
        <v>OUI</v>
      </c>
      <c r="L655" s="68" t="s">
        <v>165</v>
      </c>
      <c r="M655" s="71" t="s">
        <v>1473</v>
      </c>
      <c r="N655" s="38">
        <v>46001</v>
      </c>
      <c r="O655" s="16" t="str">
        <f t="shared" si="26"/>
        <v>OUI</v>
      </c>
    </row>
    <row r="656" spans="1:15" ht="15" customHeight="1" x14ac:dyDescent="0.3">
      <c r="A656" s="67" t="s">
        <v>34</v>
      </c>
      <c r="B656" s="91" t="s">
        <v>1606</v>
      </c>
      <c r="C656" s="68" t="s">
        <v>172</v>
      </c>
      <c r="D656" s="68" t="s">
        <v>1649</v>
      </c>
      <c r="E656" s="68" t="s">
        <v>38</v>
      </c>
      <c r="F656" s="69">
        <v>46002.574999999997</v>
      </c>
      <c r="G656" s="68">
        <v>2080</v>
      </c>
      <c r="H656" s="68" t="s">
        <v>14</v>
      </c>
      <c r="I656" s="79">
        <v>46006.511608796296</v>
      </c>
      <c r="J656" s="68">
        <v>1848</v>
      </c>
      <c r="K656" s="81" t="str">
        <f t="shared" si="25"/>
        <v>OUI</v>
      </c>
      <c r="L656" s="68" t="s">
        <v>16</v>
      </c>
      <c r="M656" s="71" t="s">
        <v>1650</v>
      </c>
      <c r="O656" s="16" t="str">
        <f t="shared" si="26"/>
        <v>OUI</v>
      </c>
    </row>
    <row r="657" spans="1:15" ht="15" customHeight="1" x14ac:dyDescent="0.3">
      <c r="A657" s="67" t="s">
        <v>34</v>
      </c>
      <c r="B657" s="91" t="s">
        <v>1644</v>
      </c>
      <c r="C657" s="68" t="s">
        <v>172</v>
      </c>
      <c r="D657" s="68" t="s">
        <v>1651</v>
      </c>
      <c r="E657" s="68" t="s">
        <v>38</v>
      </c>
      <c r="F657" s="69">
        <v>46002.577777777777</v>
      </c>
      <c r="G657" s="68">
        <v>2082</v>
      </c>
      <c r="H657" s="68" t="s">
        <v>14</v>
      </c>
      <c r="I657" s="79">
        <v>46006.512233796297</v>
      </c>
      <c r="J657" s="68">
        <v>1849</v>
      </c>
      <c r="K657" s="81" t="str">
        <f t="shared" si="25"/>
        <v>OUI</v>
      </c>
      <c r="L657" s="68" t="s">
        <v>16</v>
      </c>
      <c r="M657" s="71" t="s">
        <v>1652</v>
      </c>
      <c r="O657" s="16" t="str">
        <f t="shared" si="26"/>
        <v>OUI</v>
      </c>
    </row>
    <row r="658" spans="1:15" ht="15" customHeight="1" x14ac:dyDescent="0.3">
      <c r="A658" s="67" t="s">
        <v>34</v>
      </c>
      <c r="B658" s="91" t="s">
        <v>1644</v>
      </c>
      <c r="C658" s="68" t="s">
        <v>172</v>
      </c>
      <c r="D658" s="68" t="s">
        <v>1653</v>
      </c>
      <c r="E658" s="68" t="s">
        <v>38</v>
      </c>
      <c r="F658" s="69">
        <v>46002.579861111109</v>
      </c>
      <c r="G658" s="68">
        <v>2084</v>
      </c>
      <c r="H658" s="68" t="s">
        <v>14</v>
      </c>
      <c r="I658" s="79">
        <v>46006.512731481482</v>
      </c>
      <c r="J658" s="68">
        <v>1850</v>
      </c>
      <c r="K658" s="81" t="str">
        <f t="shared" si="25"/>
        <v>OUI</v>
      </c>
      <c r="L658" s="68" t="s">
        <v>16</v>
      </c>
      <c r="M658" s="71" t="s">
        <v>1654</v>
      </c>
      <c r="O658" s="16" t="str">
        <f t="shared" si="26"/>
        <v>OUI</v>
      </c>
    </row>
    <row r="659" spans="1:15" ht="15" customHeight="1" x14ac:dyDescent="0.3">
      <c r="A659" s="67" t="s">
        <v>34</v>
      </c>
      <c r="B659" s="91" t="s">
        <v>1644</v>
      </c>
      <c r="C659" s="68" t="s">
        <v>172</v>
      </c>
      <c r="D659" s="68" t="s">
        <v>1655</v>
      </c>
      <c r="E659" s="68" t="s">
        <v>38</v>
      </c>
      <c r="F659" s="69">
        <v>46002.584722222222</v>
      </c>
      <c r="G659" s="68">
        <v>2086</v>
      </c>
      <c r="H659" s="68" t="s">
        <v>14</v>
      </c>
      <c r="I659" s="79">
        <v>46006.514803240738</v>
      </c>
      <c r="J659" s="68">
        <v>1851</v>
      </c>
      <c r="K659" s="81" t="str">
        <f t="shared" si="25"/>
        <v>OUI</v>
      </c>
      <c r="L659" s="68" t="s">
        <v>16</v>
      </c>
      <c r="M659" s="71" t="s">
        <v>1656</v>
      </c>
      <c r="O659" s="16" t="str">
        <f t="shared" si="26"/>
        <v>OUI</v>
      </c>
    </row>
    <row r="660" spans="1:15" ht="15" customHeight="1" x14ac:dyDescent="0.3">
      <c r="A660" s="67" t="s">
        <v>34</v>
      </c>
      <c r="B660" s="91" t="s">
        <v>1644</v>
      </c>
      <c r="C660" s="68" t="s">
        <v>172</v>
      </c>
      <c r="D660" s="68" t="s">
        <v>1657</v>
      </c>
      <c r="E660" s="68" t="s">
        <v>38</v>
      </c>
      <c r="F660" s="69">
        <v>46002.588888888888</v>
      </c>
      <c r="G660" s="68">
        <v>2088</v>
      </c>
      <c r="H660" s="68" t="s">
        <v>14</v>
      </c>
      <c r="I660" s="79">
        <v>46006.516018518516</v>
      </c>
      <c r="J660" s="68">
        <v>1852</v>
      </c>
      <c r="K660" s="81" t="str">
        <f t="shared" si="25"/>
        <v>OUI</v>
      </c>
      <c r="L660" s="68" t="s">
        <v>16</v>
      </c>
      <c r="M660" s="71" t="s">
        <v>1658</v>
      </c>
      <c r="O660" s="16" t="str">
        <f t="shared" si="26"/>
        <v>OUI</v>
      </c>
    </row>
    <row r="661" spans="1:15" ht="15" customHeight="1" x14ac:dyDescent="0.3">
      <c r="A661" s="67" t="s">
        <v>34</v>
      </c>
      <c r="B661" s="91" t="s">
        <v>1644</v>
      </c>
      <c r="C661" s="68" t="s">
        <v>172</v>
      </c>
      <c r="D661" s="68" t="s">
        <v>1659</v>
      </c>
      <c r="E661" s="68" t="s">
        <v>38</v>
      </c>
      <c r="F661" s="69">
        <v>46002.593055555553</v>
      </c>
      <c r="G661" s="68">
        <v>2090</v>
      </c>
      <c r="H661" s="68" t="s">
        <v>14</v>
      </c>
      <c r="I661" s="79">
        <v>46006.517048611109</v>
      </c>
      <c r="J661" s="68">
        <v>1853</v>
      </c>
      <c r="K661" s="81" t="str">
        <f t="shared" si="25"/>
        <v>OUI</v>
      </c>
      <c r="L661" s="68" t="s">
        <v>16</v>
      </c>
      <c r="M661" s="71" t="s">
        <v>1660</v>
      </c>
      <c r="O661" s="16" t="str">
        <f t="shared" si="26"/>
        <v>OUI</v>
      </c>
    </row>
    <row r="662" spans="1:15" ht="15" customHeight="1" x14ac:dyDescent="0.3">
      <c r="A662" s="67" t="s">
        <v>34</v>
      </c>
      <c r="B662" s="91" t="s">
        <v>1644</v>
      </c>
      <c r="C662" s="68" t="s">
        <v>172</v>
      </c>
      <c r="D662" s="68" t="s">
        <v>1661</v>
      </c>
      <c r="E662" s="68" t="s">
        <v>38</v>
      </c>
      <c r="F662" s="69">
        <v>46002.605555555558</v>
      </c>
      <c r="G662" s="68">
        <v>2092</v>
      </c>
      <c r="H662" s="68" t="s">
        <v>14</v>
      </c>
      <c r="I662" s="79">
        <v>46006.517523148148</v>
      </c>
      <c r="J662" s="68">
        <v>1854</v>
      </c>
      <c r="K662" s="81" t="str">
        <f t="shared" si="25"/>
        <v>OUI</v>
      </c>
      <c r="L662" s="68" t="s">
        <v>16</v>
      </c>
      <c r="M662" s="71" t="s">
        <v>1662</v>
      </c>
      <c r="O662" s="16" t="str">
        <f t="shared" si="26"/>
        <v>OUI</v>
      </c>
    </row>
    <row r="663" spans="1:15" ht="15" customHeight="1" x14ac:dyDescent="0.3">
      <c r="A663" s="67" t="s">
        <v>34</v>
      </c>
      <c r="B663" s="91" t="s">
        <v>1644</v>
      </c>
      <c r="C663" s="68" t="s">
        <v>172</v>
      </c>
      <c r="D663" s="68" t="s">
        <v>1663</v>
      </c>
      <c r="E663" s="68" t="s">
        <v>38</v>
      </c>
      <c r="F663" s="69">
        <v>46002.607638888891</v>
      </c>
      <c r="G663" s="68">
        <v>2094</v>
      </c>
      <c r="H663" s="68" t="s">
        <v>14</v>
      </c>
      <c r="I663" s="79">
        <v>46006.521168981482</v>
      </c>
      <c r="J663" s="68">
        <v>1855</v>
      </c>
      <c r="K663" s="81" t="str">
        <f t="shared" si="25"/>
        <v>OUI</v>
      </c>
      <c r="L663" s="68" t="s">
        <v>16</v>
      </c>
      <c r="M663" s="71" t="s">
        <v>1664</v>
      </c>
      <c r="O663" s="16" t="str">
        <f t="shared" si="26"/>
        <v>OUI</v>
      </c>
    </row>
    <row r="664" spans="1:15" ht="15" customHeight="1" x14ac:dyDescent="0.3">
      <c r="A664" s="67" t="s">
        <v>34</v>
      </c>
      <c r="B664" s="91" t="s">
        <v>1644</v>
      </c>
      <c r="C664" s="68" t="s">
        <v>172</v>
      </c>
      <c r="D664" s="68" t="s">
        <v>1665</v>
      </c>
      <c r="E664" s="68" t="s">
        <v>38</v>
      </c>
      <c r="F664" s="69">
        <v>46002.615972222222</v>
      </c>
      <c r="G664" s="68">
        <v>2096</v>
      </c>
      <c r="H664" s="68" t="s">
        <v>14</v>
      </c>
      <c r="I664" s="79">
        <v>46006.521631944444</v>
      </c>
      <c r="J664" s="68">
        <v>1856</v>
      </c>
      <c r="K664" s="81" t="str">
        <f t="shared" si="25"/>
        <v>OUI</v>
      </c>
      <c r="L664" s="68" t="s">
        <v>16</v>
      </c>
      <c r="M664" s="71" t="s">
        <v>1666</v>
      </c>
      <c r="O664" s="16" t="str">
        <f t="shared" si="26"/>
        <v>OUI</v>
      </c>
    </row>
    <row r="665" spans="1:15" ht="15" customHeight="1" x14ac:dyDescent="0.3">
      <c r="A665" s="67" t="s">
        <v>34</v>
      </c>
      <c r="B665" s="91" t="s">
        <v>1644</v>
      </c>
      <c r="C665" s="68" t="s">
        <v>172</v>
      </c>
      <c r="D665" s="68" t="s">
        <v>1667</v>
      </c>
      <c r="E665" s="68" t="s">
        <v>38</v>
      </c>
      <c r="F665" s="69">
        <v>46002.618055555555</v>
      </c>
      <c r="G665" s="68">
        <v>2098</v>
      </c>
      <c r="H665" s="68" t="s">
        <v>14</v>
      </c>
      <c r="I665" s="79">
        <v>46006.522256944445</v>
      </c>
      <c r="J665" s="68">
        <v>1857</v>
      </c>
      <c r="K665" s="81" t="str">
        <f t="shared" si="25"/>
        <v>OUI</v>
      </c>
      <c r="L665" s="68" t="s">
        <v>16</v>
      </c>
      <c r="M665" s="71" t="s">
        <v>1668</v>
      </c>
      <c r="O665" s="16" t="str">
        <f t="shared" si="26"/>
        <v>OUI</v>
      </c>
    </row>
    <row r="666" spans="1:15" ht="15" customHeight="1" x14ac:dyDescent="0.3">
      <c r="A666" s="67" t="s">
        <v>34</v>
      </c>
      <c r="B666" s="91" t="s">
        <v>1644</v>
      </c>
      <c r="C666" s="68" t="s">
        <v>172</v>
      </c>
      <c r="D666" s="68" t="s">
        <v>1669</v>
      </c>
      <c r="E666" s="68" t="s">
        <v>38</v>
      </c>
      <c r="F666" s="69">
        <v>46002.620833333334</v>
      </c>
      <c r="G666" s="68">
        <v>2100</v>
      </c>
      <c r="H666" s="68" t="s">
        <v>14</v>
      </c>
      <c r="I666" s="79">
        <v>46006.522858796299</v>
      </c>
      <c r="J666" s="68">
        <v>1858</v>
      </c>
      <c r="K666" s="81" t="str">
        <f t="shared" si="25"/>
        <v>OUI</v>
      </c>
      <c r="L666" s="68" t="s">
        <v>16</v>
      </c>
      <c r="M666" s="71" t="s">
        <v>1670</v>
      </c>
      <c r="O666" s="16" t="str">
        <f t="shared" si="26"/>
        <v>OUI</v>
      </c>
    </row>
    <row r="667" spans="1:15" ht="15" customHeight="1" x14ac:dyDescent="0.3">
      <c r="A667" s="67" t="s">
        <v>34</v>
      </c>
      <c r="B667" s="91" t="s">
        <v>1644</v>
      </c>
      <c r="C667" s="68" t="s">
        <v>172</v>
      </c>
      <c r="D667" s="68" t="s">
        <v>1671</v>
      </c>
      <c r="E667" s="68" t="s">
        <v>38</v>
      </c>
      <c r="F667" s="69">
        <v>46002.62222222222</v>
      </c>
      <c r="G667" s="68">
        <v>2102</v>
      </c>
      <c r="H667" s="68" t="s">
        <v>14</v>
      </c>
      <c r="I667" s="79">
        <v>46006.523425925923</v>
      </c>
      <c r="J667" s="68">
        <v>1859</v>
      </c>
      <c r="K667" s="81" t="str">
        <f t="shared" si="25"/>
        <v>OUI</v>
      </c>
      <c r="L667" s="68" t="s">
        <v>16</v>
      </c>
      <c r="M667" s="71" t="s">
        <v>1672</v>
      </c>
      <c r="O667" s="16" t="str">
        <f t="shared" si="26"/>
        <v>OUI</v>
      </c>
    </row>
    <row r="668" spans="1:15" ht="15" customHeight="1" x14ac:dyDescent="0.3">
      <c r="A668" s="67" t="s">
        <v>34</v>
      </c>
      <c r="B668" s="91" t="s">
        <v>1644</v>
      </c>
      <c r="C668" s="68" t="s">
        <v>172</v>
      </c>
      <c r="D668" s="68" t="s">
        <v>1673</v>
      </c>
      <c r="E668" s="68" t="s">
        <v>38</v>
      </c>
      <c r="F668" s="69">
        <v>46002.625</v>
      </c>
      <c r="G668" s="68">
        <v>2104</v>
      </c>
      <c r="H668" s="68" t="s">
        <v>14</v>
      </c>
      <c r="I668" s="79">
        <v>46006.524247685185</v>
      </c>
      <c r="J668" s="68">
        <v>1860</v>
      </c>
      <c r="K668" s="81" t="str">
        <f t="shared" si="25"/>
        <v>OUI</v>
      </c>
      <c r="L668" s="68" t="s">
        <v>16</v>
      </c>
      <c r="M668" s="71" t="s">
        <v>1674</v>
      </c>
      <c r="O668" s="16" t="str">
        <f t="shared" si="26"/>
        <v>OUI</v>
      </c>
    </row>
    <row r="669" spans="1:15" ht="15" customHeight="1" x14ac:dyDescent="0.3">
      <c r="A669" s="67" t="s">
        <v>34</v>
      </c>
      <c r="B669" s="91" t="s">
        <v>1644</v>
      </c>
      <c r="C669" s="68" t="s">
        <v>172</v>
      </c>
      <c r="D669" s="68" t="s">
        <v>1675</v>
      </c>
      <c r="E669" s="68" t="s">
        <v>38</v>
      </c>
      <c r="F669" s="69">
        <v>46002.636805555558</v>
      </c>
      <c r="G669" s="68">
        <v>2106</v>
      </c>
      <c r="H669" s="68" t="s">
        <v>14</v>
      </c>
      <c r="I669" s="79">
        <v>46006.524699074071</v>
      </c>
      <c r="J669" s="68">
        <v>1861</v>
      </c>
      <c r="K669" s="81" t="str">
        <f t="shared" si="25"/>
        <v>OUI</v>
      </c>
      <c r="L669" s="68" t="s">
        <v>16</v>
      </c>
      <c r="M669" s="71" t="s">
        <v>1676</v>
      </c>
      <c r="O669" s="16" t="str">
        <f t="shared" si="26"/>
        <v>OUI</v>
      </c>
    </row>
    <row r="670" spans="1:15" ht="15" customHeight="1" x14ac:dyDescent="0.3">
      <c r="A670" s="72" t="s">
        <v>34</v>
      </c>
      <c r="B670" s="90" t="s">
        <v>1644</v>
      </c>
      <c r="C670" s="73" t="s">
        <v>172</v>
      </c>
      <c r="D670" s="73" t="s">
        <v>1677</v>
      </c>
      <c r="E670" s="73" t="s">
        <v>38</v>
      </c>
      <c r="F670" s="74">
        <v>46002.643055555556</v>
      </c>
      <c r="G670" s="73">
        <v>2108</v>
      </c>
      <c r="H670" s="73" t="s">
        <v>14</v>
      </c>
      <c r="I670" s="80">
        <v>46006.525138888886</v>
      </c>
      <c r="J670" s="73">
        <v>1862</v>
      </c>
      <c r="K670" s="81" t="str">
        <f t="shared" si="25"/>
        <v>OUI</v>
      </c>
      <c r="L670" s="73" t="s">
        <v>16</v>
      </c>
      <c r="M670" s="76" t="s">
        <v>1678</v>
      </c>
      <c r="O670" s="16" t="str">
        <f t="shared" si="26"/>
        <v>OUI</v>
      </c>
    </row>
    <row r="671" spans="1:15" ht="15" customHeight="1" x14ac:dyDescent="0.3">
      <c r="A671" s="67" t="s">
        <v>34</v>
      </c>
      <c r="B671" s="91" t="s">
        <v>1644</v>
      </c>
      <c r="C671" s="68" t="s">
        <v>172</v>
      </c>
      <c r="D671" s="68" t="s">
        <v>1679</v>
      </c>
      <c r="E671" s="68" t="s">
        <v>38</v>
      </c>
      <c r="F671" s="69">
        <v>46003.440972222219</v>
      </c>
      <c r="G671" s="68">
        <v>2111</v>
      </c>
      <c r="H671" s="68" t="s">
        <v>14</v>
      </c>
      <c r="I671" s="79">
        <v>46006.525578703702</v>
      </c>
      <c r="J671" s="68">
        <v>1864</v>
      </c>
      <c r="K671" s="81" t="str">
        <f t="shared" si="25"/>
        <v>OUI</v>
      </c>
      <c r="L671" s="68" t="s">
        <v>16</v>
      </c>
      <c r="M671" s="71" t="s">
        <v>1680</v>
      </c>
      <c r="O671" s="16" t="str">
        <f t="shared" si="26"/>
        <v>OUI</v>
      </c>
    </row>
    <row r="672" spans="1:15" ht="15" customHeight="1" x14ac:dyDescent="0.3">
      <c r="A672" s="67" t="s">
        <v>34</v>
      </c>
      <c r="B672" s="91" t="s">
        <v>1644</v>
      </c>
      <c r="C672" s="68" t="s">
        <v>172</v>
      </c>
      <c r="D672" s="68" t="s">
        <v>1681</v>
      </c>
      <c r="E672" s="68" t="s">
        <v>38</v>
      </c>
      <c r="F672" s="69">
        <v>46003.45416666667</v>
      </c>
      <c r="G672" s="68">
        <v>2113</v>
      </c>
      <c r="H672" s="68" t="s">
        <v>14</v>
      </c>
      <c r="I672" s="79">
        <v>46006.526631944442</v>
      </c>
      <c r="J672" s="68">
        <v>1865</v>
      </c>
      <c r="K672" s="81" t="str">
        <f t="shared" si="25"/>
        <v>OUI</v>
      </c>
      <c r="L672" s="68" t="s">
        <v>16</v>
      </c>
      <c r="M672" s="71" t="s">
        <v>1682</v>
      </c>
      <c r="O672" s="16" t="str">
        <f t="shared" si="26"/>
        <v>OUI</v>
      </c>
    </row>
    <row r="673" spans="1:15" ht="15" customHeight="1" x14ac:dyDescent="0.3">
      <c r="A673" s="67" t="s">
        <v>34</v>
      </c>
      <c r="B673" s="91" t="s">
        <v>1644</v>
      </c>
      <c r="C673" s="68" t="s">
        <v>172</v>
      </c>
      <c r="D673" s="68" t="s">
        <v>1683</v>
      </c>
      <c r="E673" s="68" t="s">
        <v>38</v>
      </c>
      <c r="F673" s="69">
        <v>46003.456250000003</v>
      </c>
      <c r="G673" s="68">
        <v>2115</v>
      </c>
      <c r="H673" s="68" t="s">
        <v>14</v>
      </c>
      <c r="I673" s="79">
        <v>46006.527280092596</v>
      </c>
      <c r="J673" s="68">
        <v>1866</v>
      </c>
      <c r="K673" s="81" t="str">
        <f t="shared" si="25"/>
        <v>OUI</v>
      </c>
      <c r="L673" s="68" t="s">
        <v>16</v>
      </c>
      <c r="M673" s="71" t="s">
        <v>1684</v>
      </c>
      <c r="O673" s="16" t="str">
        <f t="shared" si="26"/>
        <v>OUI</v>
      </c>
    </row>
    <row r="674" spans="1:15" ht="15" customHeight="1" x14ac:dyDescent="0.3">
      <c r="A674" s="67" t="s">
        <v>34</v>
      </c>
      <c r="B674" s="91" t="s">
        <v>1644</v>
      </c>
      <c r="C674" s="68" t="s">
        <v>172</v>
      </c>
      <c r="D674" s="68" t="s">
        <v>1685</v>
      </c>
      <c r="E674" s="68" t="s">
        <v>38</v>
      </c>
      <c r="F674" s="69">
        <v>46003.461111111108</v>
      </c>
      <c r="G674" s="68">
        <v>2117</v>
      </c>
      <c r="H674" s="68" t="s">
        <v>14</v>
      </c>
      <c r="I674" s="79">
        <v>46006.527708333335</v>
      </c>
      <c r="J674" s="68">
        <v>1867</v>
      </c>
      <c r="K674" s="81" t="str">
        <f t="shared" si="25"/>
        <v>OUI</v>
      </c>
      <c r="L674" s="68" t="s">
        <v>16</v>
      </c>
      <c r="M674" s="71" t="s">
        <v>1686</v>
      </c>
      <c r="O674" s="16" t="str">
        <f t="shared" si="26"/>
        <v>OUI</v>
      </c>
    </row>
    <row r="675" spans="1:15" ht="15" customHeight="1" x14ac:dyDescent="0.3">
      <c r="A675" s="67" t="s">
        <v>34</v>
      </c>
      <c r="B675" s="91" t="s">
        <v>1644</v>
      </c>
      <c r="C675" s="68" t="s">
        <v>172</v>
      </c>
      <c r="D675" s="68" t="s">
        <v>1687</v>
      </c>
      <c r="E675" s="68" t="s">
        <v>38</v>
      </c>
      <c r="F675" s="69">
        <v>46003.466666666667</v>
      </c>
      <c r="G675" s="68">
        <v>2119</v>
      </c>
      <c r="H675" s="68" t="s">
        <v>14</v>
      </c>
      <c r="I675" s="79">
        <v>46006.528148148151</v>
      </c>
      <c r="J675" s="68">
        <v>1868</v>
      </c>
      <c r="K675" s="81" t="str">
        <f t="shared" si="25"/>
        <v>OUI</v>
      </c>
      <c r="L675" s="68" t="s">
        <v>16</v>
      </c>
      <c r="M675" s="71" t="s">
        <v>1688</v>
      </c>
      <c r="O675" s="16" t="str">
        <f t="shared" si="26"/>
        <v>OUI</v>
      </c>
    </row>
    <row r="676" spans="1:15" ht="15" customHeight="1" x14ac:dyDescent="0.3">
      <c r="A676" s="67" t="s">
        <v>58</v>
      </c>
      <c r="B676" s="91" t="s">
        <v>1689</v>
      </c>
      <c r="C676" s="68" t="s">
        <v>47</v>
      </c>
      <c r="D676" s="68" t="s">
        <v>1690</v>
      </c>
      <c r="E676" s="68" t="s">
        <v>61</v>
      </c>
      <c r="F676" s="69">
        <v>46003.46875</v>
      </c>
      <c r="G676" s="68">
        <v>1869</v>
      </c>
      <c r="H676" s="68" t="s">
        <v>24</v>
      </c>
      <c r="I676" s="79">
        <v>46003.472916666666</v>
      </c>
      <c r="J676" s="68">
        <v>1869</v>
      </c>
      <c r="K676" s="81" t="str">
        <f t="shared" si="25"/>
        <v>OUI</v>
      </c>
      <c r="L676" s="68" t="s">
        <v>16</v>
      </c>
      <c r="M676" s="71" t="s">
        <v>1691</v>
      </c>
      <c r="N676" s="38">
        <v>46023</v>
      </c>
      <c r="O676" s="16" t="str">
        <f t="shared" si="26"/>
        <v>OUI</v>
      </c>
    </row>
    <row r="677" spans="1:15" ht="15" customHeight="1" x14ac:dyDescent="0.3">
      <c r="A677" s="67" t="s">
        <v>34</v>
      </c>
      <c r="B677" s="91" t="s">
        <v>1644</v>
      </c>
      <c r="C677" s="1" t="s">
        <v>172</v>
      </c>
      <c r="D677" s="68" t="s">
        <v>1692</v>
      </c>
      <c r="E677" s="68" t="s">
        <v>38</v>
      </c>
      <c r="F677" s="69">
        <v>46003.46875</v>
      </c>
      <c r="G677" s="68">
        <v>2122</v>
      </c>
      <c r="H677" s="68" t="s">
        <v>14</v>
      </c>
      <c r="I677" s="79">
        <v>46006.528692129628</v>
      </c>
      <c r="J677" s="68">
        <v>1870</v>
      </c>
      <c r="K677" s="81" t="str">
        <f t="shared" si="25"/>
        <v>OUI</v>
      </c>
      <c r="L677" s="68" t="s">
        <v>16</v>
      </c>
      <c r="M677" s="71" t="s">
        <v>1693</v>
      </c>
      <c r="O677" s="16" t="str">
        <f t="shared" si="26"/>
        <v>OUI</v>
      </c>
    </row>
    <row r="678" spans="1:15" ht="15" customHeight="1" x14ac:dyDescent="0.3">
      <c r="A678" s="67" t="s">
        <v>34</v>
      </c>
      <c r="B678" s="91" t="s">
        <v>1644</v>
      </c>
      <c r="C678" s="68" t="s">
        <v>172</v>
      </c>
      <c r="D678" s="68" t="s">
        <v>1694</v>
      </c>
      <c r="E678" s="68" t="s">
        <v>38</v>
      </c>
      <c r="F678" s="69">
        <v>46003.47152777778</v>
      </c>
      <c r="G678" s="68">
        <v>2124</v>
      </c>
      <c r="H678" s="68" t="s">
        <v>14</v>
      </c>
      <c r="I678" s="79">
        <v>46006.529120370367</v>
      </c>
      <c r="J678" s="68">
        <v>1871</v>
      </c>
      <c r="K678" s="81" t="str">
        <f t="shared" si="25"/>
        <v>OUI</v>
      </c>
      <c r="L678" s="68" t="s">
        <v>16</v>
      </c>
      <c r="M678" s="71" t="s">
        <v>1695</v>
      </c>
      <c r="O678" s="16" t="str">
        <f t="shared" si="26"/>
        <v>OUI</v>
      </c>
    </row>
    <row r="679" spans="1:15" ht="15" customHeight="1" x14ac:dyDescent="0.3">
      <c r="A679" s="67" t="s">
        <v>34</v>
      </c>
      <c r="B679" s="91" t="s">
        <v>1644</v>
      </c>
      <c r="C679" s="68" t="s">
        <v>172</v>
      </c>
      <c r="D679" s="68" t="s">
        <v>1696</v>
      </c>
      <c r="E679" s="68" t="s">
        <v>38</v>
      </c>
      <c r="F679" s="69">
        <v>46003.477777777778</v>
      </c>
      <c r="G679" s="68">
        <v>2126</v>
      </c>
      <c r="H679" s="68" t="s">
        <v>14</v>
      </c>
      <c r="I679" s="79">
        <v>46029.62605324074</v>
      </c>
      <c r="J679" s="68">
        <v>1872</v>
      </c>
      <c r="K679" s="81" t="str">
        <f t="shared" si="25"/>
        <v>OUI</v>
      </c>
      <c r="L679" s="68" t="s">
        <v>16</v>
      </c>
      <c r="M679" s="71" t="s">
        <v>1697</v>
      </c>
      <c r="O679" s="16" t="str">
        <f t="shared" si="26"/>
        <v>OUI</v>
      </c>
    </row>
    <row r="680" spans="1:15" ht="15" customHeight="1" x14ac:dyDescent="0.3">
      <c r="A680" s="67" t="s">
        <v>34</v>
      </c>
      <c r="B680" s="91" t="s">
        <v>1644</v>
      </c>
      <c r="C680" s="68" t="s">
        <v>172</v>
      </c>
      <c r="D680" s="68" t="s">
        <v>1698</v>
      </c>
      <c r="E680" s="68" t="s">
        <v>38</v>
      </c>
      <c r="F680" s="69">
        <v>46003.481249999997</v>
      </c>
      <c r="G680" s="68">
        <v>2128</v>
      </c>
      <c r="H680" s="68" t="s">
        <v>14</v>
      </c>
      <c r="I680" s="79">
        <v>46006.529548611114</v>
      </c>
      <c r="J680" s="68">
        <v>1873</v>
      </c>
      <c r="K680" s="81" t="str">
        <f t="shared" si="25"/>
        <v>OUI</v>
      </c>
      <c r="L680" s="68" t="s">
        <v>16</v>
      </c>
      <c r="M680" s="71" t="s">
        <v>1699</v>
      </c>
      <c r="O680" s="16" t="str">
        <f t="shared" si="26"/>
        <v>OUI</v>
      </c>
    </row>
    <row r="681" spans="1:15" ht="15" customHeight="1" x14ac:dyDescent="0.3">
      <c r="A681" s="67" t="s">
        <v>34</v>
      </c>
      <c r="B681" s="91" t="s">
        <v>1644</v>
      </c>
      <c r="C681" s="68" t="s">
        <v>172</v>
      </c>
      <c r="D681" s="68" t="s">
        <v>1700</v>
      </c>
      <c r="E681" s="68" t="s">
        <v>38</v>
      </c>
      <c r="F681" s="69">
        <v>46003.48333333333</v>
      </c>
      <c r="G681" s="68">
        <v>2130</v>
      </c>
      <c r="H681" s="68" t="s">
        <v>14</v>
      </c>
      <c r="I681" s="79">
        <v>46006.530578703707</v>
      </c>
      <c r="J681" s="68">
        <v>1874</v>
      </c>
      <c r="K681" s="81" t="str">
        <f t="shared" si="25"/>
        <v>OUI</v>
      </c>
      <c r="L681" s="68" t="s">
        <v>16</v>
      </c>
      <c r="M681" s="71" t="s">
        <v>1701</v>
      </c>
      <c r="O681" s="16" t="str">
        <f t="shared" si="26"/>
        <v>OUI</v>
      </c>
    </row>
    <row r="682" spans="1:15" ht="15" customHeight="1" x14ac:dyDescent="0.3">
      <c r="A682" s="67" t="s">
        <v>34</v>
      </c>
      <c r="B682" s="91" t="s">
        <v>1644</v>
      </c>
      <c r="C682" s="68" t="s">
        <v>172</v>
      </c>
      <c r="D682" s="68" t="s">
        <v>1702</v>
      </c>
      <c r="E682" s="68" t="s">
        <v>38</v>
      </c>
      <c r="F682" s="69">
        <v>46003.484722222223</v>
      </c>
      <c r="G682" s="68">
        <v>2132</v>
      </c>
      <c r="H682" s="68" t="s">
        <v>14</v>
      </c>
      <c r="I682" s="79">
        <v>46006.531030092592</v>
      </c>
      <c r="J682" s="68">
        <v>1875</v>
      </c>
      <c r="K682" s="81" t="str">
        <f t="shared" si="25"/>
        <v>OUI</v>
      </c>
      <c r="L682" s="68" t="s">
        <v>16</v>
      </c>
      <c r="M682" s="71" t="s">
        <v>1703</v>
      </c>
      <c r="O682" s="16" t="str">
        <f t="shared" si="26"/>
        <v>OUI</v>
      </c>
    </row>
    <row r="683" spans="1:15" ht="15" customHeight="1" x14ac:dyDescent="0.3">
      <c r="A683" s="67" t="s">
        <v>34</v>
      </c>
      <c r="B683" s="91" t="s">
        <v>1704</v>
      </c>
      <c r="C683" s="68" t="s">
        <v>172</v>
      </c>
      <c r="D683" s="68" t="s">
        <v>1705</v>
      </c>
      <c r="E683" s="68" t="s">
        <v>38</v>
      </c>
      <c r="F683" s="69">
        <v>46003.488888888889</v>
      </c>
      <c r="G683" s="68">
        <v>2134</v>
      </c>
      <c r="H683" s="68" t="s">
        <v>14</v>
      </c>
      <c r="I683" s="79">
        <v>46006.531435185185</v>
      </c>
      <c r="J683" s="68">
        <v>1876</v>
      </c>
      <c r="K683" s="81" t="str">
        <f t="shared" si="25"/>
        <v>OUI</v>
      </c>
      <c r="L683" s="68" t="s">
        <v>16</v>
      </c>
      <c r="M683" s="71" t="s">
        <v>1706</v>
      </c>
      <c r="O683" s="16" t="str">
        <f t="shared" si="26"/>
        <v>OUI</v>
      </c>
    </row>
    <row r="684" spans="1:15" ht="15" customHeight="1" x14ac:dyDescent="0.3">
      <c r="A684" s="72" t="s">
        <v>34</v>
      </c>
      <c r="B684" s="90" t="s">
        <v>1644</v>
      </c>
      <c r="C684" s="73" t="s">
        <v>26</v>
      </c>
      <c r="D684" s="73" t="s">
        <v>1707</v>
      </c>
      <c r="E684" s="73" t="s">
        <v>38</v>
      </c>
      <c r="F684" s="74">
        <v>46003.492361111108</v>
      </c>
      <c r="G684" s="73">
        <v>2136</v>
      </c>
      <c r="H684" s="73" t="s">
        <v>14</v>
      </c>
      <c r="I684" s="80">
        <v>46006.531863425924</v>
      </c>
      <c r="J684" s="73">
        <v>1877</v>
      </c>
      <c r="K684" s="81" t="str">
        <f t="shared" si="25"/>
        <v>OUI</v>
      </c>
      <c r="L684" s="73" t="s">
        <v>16</v>
      </c>
      <c r="M684" s="76" t="s">
        <v>1708</v>
      </c>
      <c r="O684" s="16" t="str">
        <f t="shared" si="26"/>
        <v>OUI</v>
      </c>
    </row>
    <row r="685" spans="1:15" ht="15" customHeight="1" x14ac:dyDescent="0.3">
      <c r="A685" s="67" t="s">
        <v>20</v>
      </c>
      <c r="B685" s="91" t="s">
        <v>507</v>
      </c>
      <c r="C685" s="68" t="s">
        <v>175</v>
      </c>
      <c r="D685" s="68" t="s">
        <v>1709</v>
      </c>
      <c r="E685" s="68" t="s">
        <v>23</v>
      </c>
      <c r="F685" s="69">
        <v>46007.344444444447</v>
      </c>
      <c r="G685" s="68">
        <v>1879</v>
      </c>
      <c r="H685" s="68" t="s">
        <v>24</v>
      </c>
      <c r="I685" s="79">
        <v>46007.348611111112</v>
      </c>
      <c r="J685" s="68">
        <v>1879</v>
      </c>
      <c r="K685" s="81" t="str">
        <f t="shared" si="25"/>
        <v>OUI</v>
      </c>
      <c r="L685" s="68" t="s">
        <v>165</v>
      </c>
      <c r="M685" s="71" t="s">
        <v>894</v>
      </c>
      <c r="N685" s="38">
        <v>46007</v>
      </c>
      <c r="O685" s="16" t="str">
        <f t="shared" si="26"/>
        <v>OUI</v>
      </c>
    </row>
    <row r="686" spans="1:15" ht="15" customHeight="1" x14ac:dyDescent="0.3">
      <c r="A686" s="72" t="s">
        <v>34</v>
      </c>
      <c r="B686" s="90" t="s">
        <v>1710</v>
      </c>
      <c r="C686" s="73" t="s">
        <v>88</v>
      </c>
      <c r="D686" s="73" t="s">
        <v>1711</v>
      </c>
      <c r="E686" s="73" t="s">
        <v>38</v>
      </c>
      <c r="F686" s="74">
        <v>46007.577777777777</v>
      </c>
      <c r="G686" s="73">
        <v>2140</v>
      </c>
      <c r="H686" s="73" t="s">
        <v>14</v>
      </c>
      <c r="I686" s="75"/>
      <c r="J686" s="73">
        <v>1880</v>
      </c>
      <c r="K686" s="81" t="str">
        <f t="shared" si="25"/>
        <v/>
      </c>
      <c r="L686" s="73" t="s">
        <v>16</v>
      </c>
      <c r="M686" s="76"/>
      <c r="O686" s="16" t="str">
        <f t="shared" si="26"/>
        <v/>
      </c>
    </row>
    <row r="687" spans="1:15" ht="15" customHeight="1" x14ac:dyDescent="0.3">
      <c r="A687" s="67" t="s">
        <v>34</v>
      </c>
      <c r="B687" s="91" t="s">
        <v>1712</v>
      </c>
      <c r="C687" s="68" t="s">
        <v>36</v>
      </c>
      <c r="D687" s="68" t="s">
        <v>1713</v>
      </c>
      <c r="E687" s="68" t="s">
        <v>38</v>
      </c>
      <c r="F687" s="69">
        <v>46008.885416666664</v>
      </c>
      <c r="G687" s="68">
        <v>2142</v>
      </c>
      <c r="H687" s="68" t="s">
        <v>14</v>
      </c>
      <c r="I687" s="79">
        <v>46044.690833333334</v>
      </c>
      <c r="J687" s="68">
        <v>1881</v>
      </c>
      <c r="K687" s="81" t="str">
        <f t="shared" si="25"/>
        <v>OUI</v>
      </c>
      <c r="L687" s="68" t="s">
        <v>16</v>
      </c>
      <c r="M687" s="71" t="s">
        <v>1714</v>
      </c>
      <c r="N687" s="38">
        <v>46045</v>
      </c>
      <c r="O687" s="16" t="str">
        <f t="shared" si="26"/>
        <v>OUI</v>
      </c>
    </row>
    <row r="688" spans="1:15" ht="15" customHeight="1" x14ac:dyDescent="0.3">
      <c r="A688" s="72" t="s">
        <v>99</v>
      </c>
      <c r="B688" s="10" t="s">
        <v>312</v>
      </c>
      <c r="C688" s="1" t="s">
        <v>106</v>
      </c>
      <c r="D688" s="73" t="s">
        <v>346</v>
      </c>
      <c r="E688" s="73" t="s">
        <v>13</v>
      </c>
      <c r="F688" s="74">
        <v>46010.340277777781</v>
      </c>
      <c r="G688" s="73">
        <v>2144</v>
      </c>
      <c r="H688" s="73" t="s">
        <v>14</v>
      </c>
      <c r="I688" s="75"/>
      <c r="J688" s="73">
        <v>1882</v>
      </c>
      <c r="K688" s="81" t="str">
        <f t="shared" si="25"/>
        <v/>
      </c>
      <c r="L688" s="73" t="s">
        <v>165</v>
      </c>
      <c r="M688" s="76"/>
      <c r="O688" s="16" t="str">
        <f t="shared" si="26"/>
        <v/>
      </c>
    </row>
    <row r="689" spans="1:15" ht="15" customHeight="1" x14ac:dyDescent="0.3">
      <c r="A689" s="67" t="s">
        <v>34</v>
      </c>
      <c r="B689" s="91" t="s">
        <v>1644</v>
      </c>
      <c r="C689" s="68" t="s">
        <v>294</v>
      </c>
      <c r="D689" s="68" t="s">
        <v>1715</v>
      </c>
      <c r="E689" s="68" t="s">
        <v>38</v>
      </c>
      <c r="F689" s="69">
        <v>46029.667361111111</v>
      </c>
      <c r="G689" s="68">
        <v>2146</v>
      </c>
      <c r="H689" s="68" t="s">
        <v>14</v>
      </c>
      <c r="I689" s="79">
        <v>46029.716666666667</v>
      </c>
      <c r="J689" s="68">
        <v>1883</v>
      </c>
      <c r="K689" s="81" t="str">
        <f t="shared" si="25"/>
        <v>OUI</v>
      </c>
      <c r="L689" s="68" t="s">
        <v>16</v>
      </c>
      <c r="M689" s="71" t="s">
        <v>1716</v>
      </c>
      <c r="O689" s="16" t="str">
        <f t="shared" si="26"/>
        <v>OUI</v>
      </c>
    </row>
    <row r="690" spans="1:15" ht="15" customHeight="1" x14ac:dyDescent="0.3">
      <c r="A690" s="67" t="s">
        <v>34</v>
      </c>
      <c r="B690" s="91" t="s">
        <v>1644</v>
      </c>
      <c r="C690" s="68" t="s">
        <v>294</v>
      </c>
      <c r="D690" s="68" t="s">
        <v>1717</v>
      </c>
      <c r="E690" s="68" t="s">
        <v>38</v>
      </c>
      <c r="F690" s="69">
        <v>46029.669444444444</v>
      </c>
      <c r="G690" s="68">
        <v>2148</v>
      </c>
      <c r="H690" s="68" t="s">
        <v>14</v>
      </c>
      <c r="I690" s="79">
        <v>46034.445196759261</v>
      </c>
      <c r="J690" s="68">
        <v>1884</v>
      </c>
      <c r="K690" s="81" t="str">
        <f t="shared" si="25"/>
        <v>OUI</v>
      </c>
      <c r="L690" s="68" t="s">
        <v>16</v>
      </c>
      <c r="M690" s="71" t="s">
        <v>1718</v>
      </c>
      <c r="O690" s="16" t="str">
        <f t="shared" si="26"/>
        <v>OUI</v>
      </c>
    </row>
    <row r="691" spans="1:15" ht="15" customHeight="1" x14ac:dyDescent="0.3">
      <c r="A691" s="67" t="s">
        <v>34</v>
      </c>
      <c r="B691" s="91" t="s">
        <v>1644</v>
      </c>
      <c r="C691" s="68" t="s">
        <v>294</v>
      </c>
      <c r="D691" s="68" t="s">
        <v>1719</v>
      </c>
      <c r="E691" s="68" t="s">
        <v>38</v>
      </c>
      <c r="F691" s="69">
        <v>46029.678472222222</v>
      </c>
      <c r="G691" s="68">
        <v>2150</v>
      </c>
      <c r="H691" s="68" t="s">
        <v>14</v>
      </c>
      <c r="I691" s="79">
        <v>46034.444895833331</v>
      </c>
      <c r="J691" s="68">
        <v>1885</v>
      </c>
      <c r="K691" s="81" t="str">
        <f t="shared" si="25"/>
        <v>OUI</v>
      </c>
      <c r="L691" s="68" t="s">
        <v>16</v>
      </c>
      <c r="M691" s="71" t="s">
        <v>1720</v>
      </c>
      <c r="O691" s="16" t="str">
        <f t="shared" si="26"/>
        <v>OUI</v>
      </c>
    </row>
    <row r="692" spans="1:15" ht="15" customHeight="1" x14ac:dyDescent="0.3">
      <c r="A692" s="67" t="s">
        <v>34</v>
      </c>
      <c r="B692" s="91" t="s">
        <v>1644</v>
      </c>
      <c r="C692" s="68" t="s">
        <v>294</v>
      </c>
      <c r="D692" s="68" t="s">
        <v>1721</v>
      </c>
      <c r="E692" s="68" t="s">
        <v>38</v>
      </c>
      <c r="F692" s="69">
        <v>46029.680555555555</v>
      </c>
      <c r="G692" s="68">
        <v>2152</v>
      </c>
      <c r="H692" s="68" t="s">
        <v>14</v>
      </c>
      <c r="I692" s="79">
        <v>46029.720138888886</v>
      </c>
      <c r="J692" s="68">
        <v>1886</v>
      </c>
      <c r="K692" s="81" t="str">
        <f t="shared" si="25"/>
        <v>OUI</v>
      </c>
      <c r="L692" s="68" t="s">
        <v>16</v>
      </c>
      <c r="M692" s="71" t="s">
        <v>1722</v>
      </c>
      <c r="O692" s="16" t="str">
        <f t="shared" si="26"/>
        <v>OUI</v>
      </c>
    </row>
    <row r="693" spans="1:15" ht="15" customHeight="1" x14ac:dyDescent="0.3">
      <c r="A693" s="67" t="s">
        <v>34</v>
      </c>
      <c r="B693" s="91" t="s">
        <v>1644</v>
      </c>
      <c r="C693" s="68" t="s">
        <v>294</v>
      </c>
      <c r="D693" s="68" t="s">
        <v>1723</v>
      </c>
      <c r="E693" s="68" t="s">
        <v>38</v>
      </c>
      <c r="F693" s="69">
        <v>46029.682638888888</v>
      </c>
      <c r="G693" s="68">
        <v>2154</v>
      </c>
      <c r="H693" s="68" t="s">
        <v>14</v>
      </c>
      <c r="I693" s="79">
        <v>46029.720833333333</v>
      </c>
      <c r="J693" s="68">
        <v>1887</v>
      </c>
      <c r="K693" s="81" t="str">
        <f t="shared" ref="K693:K756" si="27">IF(AND(NOT(ISBLANK(I693)), NOT(ISBLANK(M693))), "OUI", "")</f>
        <v>OUI</v>
      </c>
      <c r="L693" s="68" t="s">
        <v>16</v>
      </c>
      <c r="M693" s="71" t="s">
        <v>1724</v>
      </c>
      <c r="O693" s="16" t="str">
        <f t="shared" si="26"/>
        <v>OUI</v>
      </c>
    </row>
    <row r="694" spans="1:15" ht="15" customHeight="1" x14ac:dyDescent="0.3">
      <c r="A694" s="67" t="s">
        <v>34</v>
      </c>
      <c r="B694" s="91" t="s">
        <v>1644</v>
      </c>
      <c r="C694" s="68" t="s">
        <v>294</v>
      </c>
      <c r="D694" s="68" t="s">
        <v>1725</v>
      </c>
      <c r="E694" s="68" t="s">
        <v>38</v>
      </c>
      <c r="F694" s="69">
        <v>46029.68472222222</v>
      </c>
      <c r="G694" s="68">
        <v>2156</v>
      </c>
      <c r="H694" s="68" t="s">
        <v>14</v>
      </c>
      <c r="I694" s="79">
        <v>46029.715277777781</v>
      </c>
      <c r="J694" s="68">
        <v>1888</v>
      </c>
      <c r="K694" s="81" t="str">
        <f t="shared" si="27"/>
        <v>OUI</v>
      </c>
      <c r="L694" s="68" t="s">
        <v>16</v>
      </c>
      <c r="M694" s="71" t="s">
        <v>1726</v>
      </c>
      <c r="O694" s="16" t="str">
        <f t="shared" si="26"/>
        <v>OUI</v>
      </c>
    </row>
    <row r="695" spans="1:15" ht="15" customHeight="1" x14ac:dyDescent="0.3">
      <c r="A695" s="67" t="s">
        <v>34</v>
      </c>
      <c r="B695" s="91" t="s">
        <v>1644</v>
      </c>
      <c r="C695" s="68" t="s">
        <v>294</v>
      </c>
      <c r="D695" s="68" t="s">
        <v>1727</v>
      </c>
      <c r="E695" s="68" t="s">
        <v>38</v>
      </c>
      <c r="F695" s="69">
        <v>46029.688888888886</v>
      </c>
      <c r="G695" s="68">
        <v>2158</v>
      </c>
      <c r="H695" s="68" t="s">
        <v>14</v>
      </c>
      <c r="I695" s="79">
        <v>46029.72152777778</v>
      </c>
      <c r="J695" s="68">
        <v>1889</v>
      </c>
      <c r="K695" s="81" t="str">
        <f t="shared" si="27"/>
        <v>OUI</v>
      </c>
      <c r="L695" s="68" t="s">
        <v>16</v>
      </c>
      <c r="M695" s="71" t="s">
        <v>1728</v>
      </c>
      <c r="O695" s="16" t="str">
        <f t="shared" si="26"/>
        <v>OUI</v>
      </c>
    </row>
    <row r="696" spans="1:15" ht="15" customHeight="1" x14ac:dyDescent="0.3">
      <c r="A696" s="67" t="s">
        <v>34</v>
      </c>
      <c r="B696" s="91" t="s">
        <v>1644</v>
      </c>
      <c r="C696" s="68" t="s">
        <v>294</v>
      </c>
      <c r="D696" s="68" t="s">
        <v>1729</v>
      </c>
      <c r="E696" s="68" t="s">
        <v>38</v>
      </c>
      <c r="F696" s="69">
        <v>46029.69027777778</v>
      </c>
      <c r="G696" s="68">
        <v>2160</v>
      </c>
      <c r="H696" s="68" t="s">
        <v>14</v>
      </c>
      <c r="I696" s="79">
        <v>46029.722222222219</v>
      </c>
      <c r="J696" s="68">
        <v>1890</v>
      </c>
      <c r="K696" s="81" t="str">
        <f t="shared" si="27"/>
        <v>OUI</v>
      </c>
      <c r="L696" s="68" t="s">
        <v>16</v>
      </c>
      <c r="M696" s="71" t="s">
        <v>1730</v>
      </c>
      <c r="O696" s="16" t="str">
        <f t="shared" si="26"/>
        <v>OUI</v>
      </c>
    </row>
    <row r="697" spans="1:15" ht="15" customHeight="1" x14ac:dyDescent="0.3">
      <c r="A697" s="67" t="s">
        <v>34</v>
      </c>
      <c r="B697" s="91" t="s">
        <v>1644</v>
      </c>
      <c r="C697" s="68" t="s">
        <v>294</v>
      </c>
      <c r="D697" s="68" t="s">
        <v>1731</v>
      </c>
      <c r="E697" s="68" t="s">
        <v>38</v>
      </c>
      <c r="F697" s="69">
        <v>46029.692361111112</v>
      </c>
      <c r="G697" s="68">
        <v>2162</v>
      </c>
      <c r="H697" s="68" t="s">
        <v>14</v>
      </c>
      <c r="I697" s="79">
        <v>46029.722916666666</v>
      </c>
      <c r="J697" s="68">
        <v>1891</v>
      </c>
      <c r="K697" s="81" t="str">
        <f t="shared" si="27"/>
        <v>OUI</v>
      </c>
      <c r="L697" s="68" t="s">
        <v>16</v>
      </c>
      <c r="M697" s="71" t="s">
        <v>1732</v>
      </c>
      <c r="O697" s="16" t="str">
        <f t="shared" si="26"/>
        <v>OUI</v>
      </c>
    </row>
    <row r="698" spans="1:15" ht="15" customHeight="1" x14ac:dyDescent="0.3">
      <c r="A698" s="67" t="s">
        <v>34</v>
      </c>
      <c r="B698" s="91" t="s">
        <v>1733</v>
      </c>
      <c r="C698" s="68" t="s">
        <v>294</v>
      </c>
      <c r="D698" s="68" t="s">
        <v>1734</v>
      </c>
      <c r="E698" s="68" t="s">
        <v>38</v>
      </c>
      <c r="F698" s="69">
        <v>46029.694444444445</v>
      </c>
      <c r="G698" s="68">
        <v>2164</v>
      </c>
      <c r="H698" s="68" t="s">
        <v>14</v>
      </c>
      <c r="I698" s="79">
        <v>46029.726388888892</v>
      </c>
      <c r="J698" s="68">
        <v>1892</v>
      </c>
      <c r="K698" s="81" t="str">
        <f t="shared" si="27"/>
        <v>OUI</v>
      </c>
      <c r="L698" s="68" t="s">
        <v>16</v>
      </c>
      <c r="M698" s="71" t="s">
        <v>1735</v>
      </c>
      <c r="O698" s="16" t="str">
        <f t="shared" si="26"/>
        <v>OUI</v>
      </c>
    </row>
    <row r="699" spans="1:15" ht="15" customHeight="1" x14ac:dyDescent="0.3">
      <c r="A699" s="67" t="s">
        <v>34</v>
      </c>
      <c r="B699" s="91" t="s">
        <v>1644</v>
      </c>
      <c r="C699" s="68" t="s">
        <v>294</v>
      </c>
      <c r="D699" s="68" t="s">
        <v>1736</v>
      </c>
      <c r="E699" s="68" t="s">
        <v>38</v>
      </c>
      <c r="F699" s="69">
        <v>46029.697222222225</v>
      </c>
      <c r="G699" s="68">
        <v>2166</v>
      </c>
      <c r="H699" s="68" t="s">
        <v>14</v>
      </c>
      <c r="I699" s="79">
        <v>46029.727777777778</v>
      </c>
      <c r="J699" s="68">
        <v>1893</v>
      </c>
      <c r="K699" s="81" t="str">
        <f t="shared" si="27"/>
        <v>OUI</v>
      </c>
      <c r="L699" s="68" t="s">
        <v>16</v>
      </c>
      <c r="M699" s="71" t="s">
        <v>1737</v>
      </c>
      <c r="O699" s="16" t="str">
        <f t="shared" si="26"/>
        <v>OUI</v>
      </c>
    </row>
    <row r="700" spans="1:15" ht="15" customHeight="1" x14ac:dyDescent="0.3">
      <c r="A700" s="67" t="s">
        <v>34</v>
      </c>
      <c r="B700" s="91" t="s">
        <v>1644</v>
      </c>
      <c r="C700" s="68" t="s">
        <v>294</v>
      </c>
      <c r="D700" s="68" t="s">
        <v>1738</v>
      </c>
      <c r="E700" s="68" t="s">
        <v>38</v>
      </c>
      <c r="F700" s="69">
        <v>46029.699305555558</v>
      </c>
      <c r="G700" s="68">
        <v>2168</v>
      </c>
      <c r="H700" s="68" t="s">
        <v>14</v>
      </c>
      <c r="I700" s="79">
        <v>46029.729166666664</v>
      </c>
      <c r="J700" s="68">
        <v>1894</v>
      </c>
      <c r="K700" s="81" t="str">
        <f t="shared" si="27"/>
        <v>OUI</v>
      </c>
      <c r="L700" s="68" t="s">
        <v>16</v>
      </c>
      <c r="M700" s="71" t="s">
        <v>1739</v>
      </c>
      <c r="O700" s="16" t="str">
        <f t="shared" si="26"/>
        <v>OUI</v>
      </c>
    </row>
    <row r="701" spans="1:15" ht="15" customHeight="1" x14ac:dyDescent="0.3">
      <c r="A701" s="67" t="s">
        <v>34</v>
      </c>
      <c r="B701" s="91" t="s">
        <v>1644</v>
      </c>
      <c r="C701" s="68" t="s">
        <v>294</v>
      </c>
      <c r="D701" s="68" t="s">
        <v>1740</v>
      </c>
      <c r="E701" s="68" t="s">
        <v>38</v>
      </c>
      <c r="F701" s="69">
        <v>46029.700694444444</v>
      </c>
      <c r="G701" s="68">
        <v>2170</v>
      </c>
      <c r="H701" s="68" t="s">
        <v>14</v>
      </c>
      <c r="I701" s="79">
        <v>46029.730555555558</v>
      </c>
      <c r="J701" s="68">
        <v>1895</v>
      </c>
      <c r="K701" s="81" t="str">
        <f t="shared" si="27"/>
        <v>OUI</v>
      </c>
      <c r="L701" s="68" t="s">
        <v>16</v>
      </c>
      <c r="M701" s="71" t="s">
        <v>1741</v>
      </c>
      <c r="O701" s="16" t="str">
        <f t="shared" si="26"/>
        <v>OUI</v>
      </c>
    </row>
    <row r="702" spans="1:15" ht="15" customHeight="1" x14ac:dyDescent="0.3">
      <c r="A702" s="67" t="s">
        <v>34</v>
      </c>
      <c r="B702" s="91" t="s">
        <v>1644</v>
      </c>
      <c r="C702" s="68" t="s">
        <v>294</v>
      </c>
      <c r="D702" s="68" t="s">
        <v>1742</v>
      </c>
      <c r="E702" s="68" t="s">
        <v>38</v>
      </c>
      <c r="F702" s="69">
        <v>46029.70208333333</v>
      </c>
      <c r="G702" s="68">
        <v>2172</v>
      </c>
      <c r="H702" s="68" t="s">
        <v>14</v>
      </c>
      <c r="I702" s="79">
        <v>46029.731249999997</v>
      </c>
      <c r="J702" s="68">
        <v>1896</v>
      </c>
      <c r="K702" s="81" t="str">
        <f t="shared" si="27"/>
        <v>OUI</v>
      </c>
      <c r="L702" s="68" t="s">
        <v>16</v>
      </c>
      <c r="M702" s="71" t="s">
        <v>1743</v>
      </c>
      <c r="O702" s="16" t="str">
        <f t="shared" si="26"/>
        <v>OUI</v>
      </c>
    </row>
    <row r="703" spans="1:15" ht="15" customHeight="1" x14ac:dyDescent="0.3">
      <c r="A703" s="67" t="s">
        <v>34</v>
      </c>
      <c r="B703" s="91" t="s">
        <v>1644</v>
      </c>
      <c r="C703" s="68" t="s">
        <v>294</v>
      </c>
      <c r="D703" s="68" t="s">
        <v>1744</v>
      </c>
      <c r="E703" s="68" t="s">
        <v>38</v>
      </c>
      <c r="F703" s="69">
        <v>46029.70416666667</v>
      </c>
      <c r="G703" s="68">
        <v>2174</v>
      </c>
      <c r="H703" s="68" t="s">
        <v>14</v>
      </c>
      <c r="I703" s="79">
        <v>46029.731944444444</v>
      </c>
      <c r="J703" s="68">
        <v>1897</v>
      </c>
      <c r="K703" s="81" t="str">
        <f t="shared" si="27"/>
        <v>OUI</v>
      </c>
      <c r="L703" s="68" t="s">
        <v>16</v>
      </c>
      <c r="M703" s="71" t="s">
        <v>1745</v>
      </c>
      <c r="O703" s="16" t="str">
        <f t="shared" si="26"/>
        <v>OUI</v>
      </c>
    </row>
    <row r="704" spans="1:15" ht="15" customHeight="1" x14ac:dyDescent="0.3">
      <c r="A704" s="67" t="s">
        <v>34</v>
      </c>
      <c r="B704" s="91" t="s">
        <v>1644</v>
      </c>
      <c r="C704" s="68" t="s">
        <v>294</v>
      </c>
      <c r="D704" s="68" t="s">
        <v>1746</v>
      </c>
      <c r="E704" s="68" t="s">
        <v>38</v>
      </c>
      <c r="F704" s="69">
        <v>46030.373611111114</v>
      </c>
      <c r="G704" s="68">
        <v>2176</v>
      </c>
      <c r="H704" s="68" t="s">
        <v>14</v>
      </c>
      <c r="I704" s="79">
        <v>46034.444525462961</v>
      </c>
      <c r="J704" s="68">
        <v>1898</v>
      </c>
      <c r="K704" s="81" t="str">
        <f t="shared" si="27"/>
        <v>OUI</v>
      </c>
      <c r="L704" s="68" t="s">
        <v>16</v>
      </c>
      <c r="M704" s="71" t="s">
        <v>1747</v>
      </c>
      <c r="O704" s="16" t="str">
        <f t="shared" si="26"/>
        <v>OUI</v>
      </c>
    </row>
    <row r="705" spans="1:15" ht="15" customHeight="1" x14ac:dyDescent="0.3">
      <c r="A705" s="67" t="s">
        <v>34</v>
      </c>
      <c r="B705" s="91" t="s">
        <v>1644</v>
      </c>
      <c r="C705" s="68" t="s">
        <v>294</v>
      </c>
      <c r="D705" s="68" t="s">
        <v>1748</v>
      </c>
      <c r="E705" s="68" t="s">
        <v>38</v>
      </c>
      <c r="F705" s="69">
        <v>46030.375694444447</v>
      </c>
      <c r="G705" s="68">
        <v>2178</v>
      </c>
      <c r="H705" s="68" t="s">
        <v>14</v>
      </c>
      <c r="I705" s="79">
        <v>46034.440729166665</v>
      </c>
      <c r="J705" s="68">
        <v>1899</v>
      </c>
      <c r="K705" s="81" t="str">
        <f t="shared" si="27"/>
        <v>OUI</v>
      </c>
      <c r="L705" s="68" t="s">
        <v>16</v>
      </c>
      <c r="M705" s="71" t="s">
        <v>1749</v>
      </c>
      <c r="O705" s="16" t="str">
        <f t="shared" si="26"/>
        <v>OUI</v>
      </c>
    </row>
    <row r="706" spans="1:15" ht="15" customHeight="1" x14ac:dyDescent="0.3">
      <c r="A706" s="67" t="s">
        <v>34</v>
      </c>
      <c r="B706" s="91" t="s">
        <v>1750</v>
      </c>
      <c r="C706" s="68" t="s">
        <v>709</v>
      </c>
      <c r="D706" s="68" t="s">
        <v>1751</v>
      </c>
      <c r="E706" s="68" t="s">
        <v>38</v>
      </c>
      <c r="F706" s="69">
        <v>46030.521527777775</v>
      </c>
      <c r="G706" s="68">
        <v>2180</v>
      </c>
      <c r="H706" s="68" t="s">
        <v>14</v>
      </c>
      <c r="I706" s="70"/>
      <c r="J706" s="68">
        <v>1900</v>
      </c>
      <c r="K706" s="81" t="str">
        <f t="shared" si="27"/>
        <v/>
      </c>
      <c r="L706" s="68" t="s">
        <v>16</v>
      </c>
      <c r="M706" s="71"/>
      <c r="O706" s="16" t="str">
        <f t="shared" si="26"/>
        <v/>
      </c>
    </row>
    <row r="707" spans="1:15" ht="15" customHeight="1" x14ac:dyDescent="0.3">
      <c r="A707" s="67" t="s">
        <v>34</v>
      </c>
      <c r="B707" s="91" t="s">
        <v>1644</v>
      </c>
      <c r="C707" s="68" t="s">
        <v>172</v>
      </c>
      <c r="D707" s="68" t="s">
        <v>1752</v>
      </c>
      <c r="E707" s="68" t="s">
        <v>38</v>
      </c>
      <c r="F707" s="69">
        <v>46030.577777777777</v>
      </c>
      <c r="G707" s="68">
        <v>2182</v>
      </c>
      <c r="H707" s="68" t="s">
        <v>14</v>
      </c>
      <c r="I707" s="79">
        <v>46034.440162037034</v>
      </c>
      <c r="J707" s="68">
        <v>1901</v>
      </c>
      <c r="K707" s="81" t="str">
        <f t="shared" si="27"/>
        <v>OUI</v>
      </c>
      <c r="L707" s="68" t="s">
        <v>16</v>
      </c>
      <c r="M707" s="71" t="s">
        <v>1753</v>
      </c>
      <c r="O707" s="16" t="str">
        <f t="shared" si="26"/>
        <v>OUI</v>
      </c>
    </row>
    <row r="708" spans="1:15" ht="15" customHeight="1" x14ac:dyDescent="0.3">
      <c r="A708" s="67" t="s">
        <v>34</v>
      </c>
      <c r="B708" s="91" t="s">
        <v>1644</v>
      </c>
      <c r="C708" s="68" t="s">
        <v>172</v>
      </c>
      <c r="D708" s="68" t="s">
        <v>1754</v>
      </c>
      <c r="E708" s="68" t="s">
        <v>38</v>
      </c>
      <c r="F708" s="69">
        <v>46030.579861111109</v>
      </c>
      <c r="G708" s="68">
        <v>2184</v>
      </c>
      <c r="H708" s="68" t="s">
        <v>14</v>
      </c>
      <c r="I708" s="79">
        <v>46034.436574074076</v>
      </c>
      <c r="J708" s="68">
        <v>1902</v>
      </c>
      <c r="K708" s="81" t="str">
        <f t="shared" si="27"/>
        <v>OUI</v>
      </c>
      <c r="L708" s="68" t="s">
        <v>16</v>
      </c>
      <c r="M708" s="71" t="s">
        <v>1755</v>
      </c>
      <c r="O708" s="16" t="str">
        <f t="shared" si="26"/>
        <v>OUI</v>
      </c>
    </row>
    <row r="709" spans="1:15" ht="15" customHeight="1" x14ac:dyDescent="0.3">
      <c r="A709" s="67" t="s">
        <v>34</v>
      </c>
      <c r="B709" s="91" t="s">
        <v>1644</v>
      </c>
      <c r="C709" s="68" t="s">
        <v>172</v>
      </c>
      <c r="D709" s="68" t="s">
        <v>1756</v>
      </c>
      <c r="E709" s="68" t="s">
        <v>38</v>
      </c>
      <c r="F709" s="69">
        <v>46030.581944444442</v>
      </c>
      <c r="G709" s="68">
        <v>2186</v>
      </c>
      <c r="H709" s="68" t="s">
        <v>14</v>
      </c>
      <c r="I709" s="79">
        <v>46034.436041666668</v>
      </c>
      <c r="J709" s="68">
        <v>1903</v>
      </c>
      <c r="K709" s="81" t="str">
        <f t="shared" si="27"/>
        <v>OUI</v>
      </c>
      <c r="L709" s="68" t="s">
        <v>16</v>
      </c>
      <c r="M709" s="71" t="s">
        <v>1757</v>
      </c>
      <c r="O709" s="16" t="str">
        <f t="shared" si="26"/>
        <v>OUI</v>
      </c>
    </row>
    <row r="710" spans="1:15" ht="15" customHeight="1" x14ac:dyDescent="0.3">
      <c r="A710" s="67" t="s">
        <v>34</v>
      </c>
      <c r="B710" s="91" t="s">
        <v>1644</v>
      </c>
      <c r="C710" s="68" t="s">
        <v>172</v>
      </c>
      <c r="D710" s="68" t="s">
        <v>1758</v>
      </c>
      <c r="E710" s="68" t="s">
        <v>38</v>
      </c>
      <c r="F710" s="69">
        <v>46030.584027777775</v>
      </c>
      <c r="G710" s="68">
        <v>2188</v>
      </c>
      <c r="H710" s="68" t="s">
        <v>14</v>
      </c>
      <c r="I710" s="79">
        <v>46034.435694444444</v>
      </c>
      <c r="J710" s="68">
        <v>1904</v>
      </c>
      <c r="K710" s="81" t="str">
        <f t="shared" si="27"/>
        <v>OUI</v>
      </c>
      <c r="L710" s="68" t="s">
        <v>16</v>
      </c>
      <c r="M710" s="71" t="s">
        <v>1759</v>
      </c>
      <c r="O710" s="16" t="str">
        <f t="shared" si="26"/>
        <v>OUI</v>
      </c>
    </row>
    <row r="711" spans="1:15" ht="15" customHeight="1" x14ac:dyDescent="0.3">
      <c r="A711" s="67" t="s">
        <v>34</v>
      </c>
      <c r="B711" s="91" t="s">
        <v>1644</v>
      </c>
      <c r="C711" s="68" t="s">
        <v>206</v>
      </c>
      <c r="D711" s="68" t="s">
        <v>1760</v>
      </c>
      <c r="E711" s="68" t="s">
        <v>38</v>
      </c>
      <c r="F711" s="69">
        <v>46030.585416666669</v>
      </c>
      <c r="G711" s="68">
        <v>2190</v>
      </c>
      <c r="H711" s="68" t="s">
        <v>14</v>
      </c>
      <c r="I711" s="79">
        <v>46034.435277777775</v>
      </c>
      <c r="J711" s="68">
        <v>1905</v>
      </c>
      <c r="K711" s="81" t="str">
        <f t="shared" si="27"/>
        <v>OUI</v>
      </c>
      <c r="L711" s="68" t="s">
        <v>16</v>
      </c>
      <c r="M711" s="71" t="s">
        <v>1761</v>
      </c>
      <c r="O711" s="16" t="str">
        <f t="shared" si="26"/>
        <v>OUI</v>
      </c>
    </row>
    <row r="712" spans="1:15" ht="15" customHeight="1" x14ac:dyDescent="0.3">
      <c r="A712" s="67" t="s">
        <v>34</v>
      </c>
      <c r="B712" s="91" t="s">
        <v>1644</v>
      </c>
      <c r="C712" s="68" t="s">
        <v>294</v>
      </c>
      <c r="D712" s="68" t="s">
        <v>1762</v>
      </c>
      <c r="E712" s="68" t="s">
        <v>38</v>
      </c>
      <c r="F712" s="69">
        <v>46030.588888888888</v>
      </c>
      <c r="G712" s="68">
        <v>2192</v>
      </c>
      <c r="H712" s="68" t="s">
        <v>14</v>
      </c>
      <c r="I712" s="79">
        <v>46034.434814814813</v>
      </c>
      <c r="J712" s="68">
        <v>1906</v>
      </c>
      <c r="K712" s="81" t="str">
        <f t="shared" si="27"/>
        <v>OUI</v>
      </c>
      <c r="L712" s="68" t="s">
        <v>16</v>
      </c>
      <c r="M712" s="71" t="s">
        <v>1763</v>
      </c>
      <c r="O712" s="16" t="str">
        <f t="shared" si="26"/>
        <v>OUI</v>
      </c>
    </row>
    <row r="713" spans="1:15" ht="15" customHeight="1" x14ac:dyDescent="0.3">
      <c r="A713" s="72" t="s">
        <v>212</v>
      </c>
      <c r="B713" s="90" t="s">
        <v>1764</v>
      </c>
      <c r="C713" s="73" t="s">
        <v>144</v>
      </c>
      <c r="D713" s="73" t="s">
        <v>1765</v>
      </c>
      <c r="E713" s="73" t="s">
        <v>27</v>
      </c>
      <c r="F713" s="74">
        <v>46031.293055555558</v>
      </c>
      <c r="G713" s="73">
        <v>2194</v>
      </c>
      <c r="H713" s="73" t="s">
        <v>14</v>
      </c>
      <c r="I713" s="75"/>
      <c r="J713" s="73">
        <v>1907</v>
      </c>
      <c r="K713" s="81" t="str">
        <f t="shared" si="27"/>
        <v/>
      </c>
      <c r="L713" s="73" t="s">
        <v>16</v>
      </c>
      <c r="M713" s="76"/>
      <c r="O713" s="16" t="str">
        <f t="shared" si="26"/>
        <v/>
      </c>
    </row>
    <row r="714" spans="1:15" ht="15" customHeight="1" x14ac:dyDescent="0.3">
      <c r="A714" s="67" t="s">
        <v>58</v>
      </c>
      <c r="B714" s="91" t="s">
        <v>1766</v>
      </c>
      <c r="C714" s="68" t="s">
        <v>376</v>
      </c>
      <c r="D714" s="68" t="s">
        <v>1767</v>
      </c>
      <c r="E714" s="68" t="s">
        <v>61</v>
      </c>
      <c r="F714" s="69">
        <v>46034.616666666669</v>
      </c>
      <c r="G714" s="68">
        <v>2196</v>
      </c>
      <c r="H714" s="68" t="s">
        <v>14</v>
      </c>
      <c r="I714" s="70"/>
      <c r="J714" s="68">
        <v>1908</v>
      </c>
      <c r="K714" s="81" t="str">
        <f t="shared" si="27"/>
        <v/>
      </c>
      <c r="L714" s="68" t="s">
        <v>16</v>
      </c>
      <c r="M714" s="71"/>
      <c r="O714" s="16" t="str">
        <f t="shared" si="26"/>
        <v/>
      </c>
    </row>
    <row r="715" spans="1:15" ht="15" customHeight="1" x14ac:dyDescent="0.3">
      <c r="A715" s="67" t="s">
        <v>34</v>
      </c>
      <c r="B715" s="91" t="s">
        <v>1644</v>
      </c>
      <c r="C715" s="68" t="s">
        <v>294</v>
      </c>
      <c r="D715" s="68" t="s">
        <v>1768</v>
      </c>
      <c r="E715" s="68" t="s">
        <v>38</v>
      </c>
      <c r="F715" s="69">
        <v>46034.622916666667</v>
      </c>
      <c r="G715" s="68">
        <v>2198</v>
      </c>
      <c r="H715" s="68" t="s">
        <v>14</v>
      </c>
      <c r="I715" s="79">
        <v>46045.39271990741</v>
      </c>
      <c r="J715" s="68">
        <v>1909</v>
      </c>
      <c r="K715" s="81" t="str">
        <f t="shared" si="27"/>
        <v>OUI</v>
      </c>
      <c r="L715" s="68" t="s">
        <v>16</v>
      </c>
      <c r="M715" s="71" t="s">
        <v>1769</v>
      </c>
      <c r="O715" s="16" t="str">
        <f t="shared" si="26"/>
        <v>OUI</v>
      </c>
    </row>
    <row r="716" spans="1:15" ht="15" customHeight="1" x14ac:dyDescent="0.3">
      <c r="A716" s="67" t="s">
        <v>34</v>
      </c>
      <c r="B716" s="91" t="s">
        <v>1644</v>
      </c>
      <c r="C716" s="68" t="s">
        <v>294</v>
      </c>
      <c r="D716" s="68" t="s">
        <v>1770</v>
      </c>
      <c r="E716" s="68" t="s">
        <v>38</v>
      </c>
      <c r="F716" s="69">
        <v>46034.627083333333</v>
      </c>
      <c r="G716" s="68">
        <v>2200</v>
      </c>
      <c r="H716" s="68" t="s">
        <v>14</v>
      </c>
      <c r="I716" s="79">
        <v>46034.661805555559</v>
      </c>
      <c r="J716" s="68">
        <v>1910</v>
      </c>
      <c r="K716" s="81" t="str">
        <f t="shared" si="27"/>
        <v>OUI</v>
      </c>
      <c r="L716" s="68" t="s">
        <v>16</v>
      </c>
      <c r="M716" s="71" t="s">
        <v>1771</v>
      </c>
      <c r="O716" s="16" t="str">
        <f t="shared" ref="O716:O779" si="28">IF(AND(ISBLANK(I716), ISBLANK(N716)), "", "OUI")</f>
        <v>OUI</v>
      </c>
    </row>
    <row r="717" spans="1:15" ht="15" customHeight="1" x14ac:dyDescent="0.3">
      <c r="A717" s="67" t="s">
        <v>34</v>
      </c>
      <c r="B717" s="91" t="s">
        <v>1644</v>
      </c>
      <c r="C717" s="68" t="s">
        <v>294</v>
      </c>
      <c r="D717" s="68" t="s">
        <v>1772</v>
      </c>
      <c r="E717" s="68" t="s">
        <v>38</v>
      </c>
      <c r="F717" s="69">
        <v>46034.629861111112</v>
      </c>
      <c r="G717" s="68">
        <v>2202</v>
      </c>
      <c r="H717" s="68" t="s">
        <v>14</v>
      </c>
      <c r="I717" s="79">
        <v>46034.663194444445</v>
      </c>
      <c r="J717" s="68">
        <v>1911</v>
      </c>
      <c r="K717" s="81" t="str">
        <f t="shared" si="27"/>
        <v>OUI</v>
      </c>
      <c r="L717" s="68" t="s">
        <v>16</v>
      </c>
      <c r="M717" s="71" t="s">
        <v>1773</v>
      </c>
      <c r="O717" s="16" t="str">
        <f t="shared" si="28"/>
        <v>OUI</v>
      </c>
    </row>
    <row r="718" spans="1:15" ht="15" customHeight="1" x14ac:dyDescent="0.3">
      <c r="A718" s="67" t="s">
        <v>34</v>
      </c>
      <c r="B718" s="91" t="s">
        <v>1644</v>
      </c>
      <c r="C718" s="68" t="s">
        <v>1437</v>
      </c>
      <c r="D718" s="68" t="s">
        <v>1774</v>
      </c>
      <c r="E718" s="68" t="s">
        <v>38</v>
      </c>
      <c r="F718" s="69">
        <v>46034.631944444445</v>
      </c>
      <c r="G718" s="68">
        <v>2204</v>
      </c>
      <c r="H718" s="68" t="s">
        <v>14</v>
      </c>
      <c r="I718" s="79">
        <v>46034.661111111112</v>
      </c>
      <c r="J718" s="68">
        <v>1912</v>
      </c>
      <c r="K718" s="81" t="str">
        <f t="shared" si="27"/>
        <v>OUI</v>
      </c>
      <c r="L718" s="68" t="s">
        <v>16</v>
      </c>
      <c r="M718" s="71" t="s">
        <v>1775</v>
      </c>
      <c r="O718" s="16" t="str">
        <f t="shared" si="28"/>
        <v>OUI</v>
      </c>
    </row>
    <row r="719" spans="1:15" ht="15" customHeight="1" x14ac:dyDescent="0.3">
      <c r="A719" s="67" t="s">
        <v>34</v>
      </c>
      <c r="B719" s="91" t="s">
        <v>1776</v>
      </c>
      <c r="C719" s="68" t="s">
        <v>36</v>
      </c>
      <c r="D719" s="68" t="s">
        <v>1777</v>
      </c>
      <c r="E719" s="68" t="s">
        <v>38</v>
      </c>
      <c r="F719" s="69">
        <v>46036.345138888886</v>
      </c>
      <c r="G719" s="68">
        <v>2206</v>
      </c>
      <c r="H719" s="68" t="s">
        <v>14</v>
      </c>
      <c r="I719" s="79">
        <v>46045.392384259256</v>
      </c>
      <c r="J719" s="68">
        <v>1913</v>
      </c>
      <c r="K719" s="81" t="str">
        <f t="shared" si="27"/>
        <v>OUI</v>
      </c>
      <c r="L719" s="68" t="s">
        <v>16</v>
      </c>
      <c r="M719" s="71" t="s">
        <v>1778</v>
      </c>
      <c r="O719" s="16" t="str">
        <f t="shared" si="28"/>
        <v>OUI</v>
      </c>
    </row>
    <row r="720" spans="1:15" ht="15" customHeight="1" x14ac:dyDescent="0.3">
      <c r="A720" s="67" t="s">
        <v>34</v>
      </c>
      <c r="B720" s="91" t="s">
        <v>1776</v>
      </c>
      <c r="C720" s="68" t="s">
        <v>36</v>
      </c>
      <c r="D720" s="68" t="s">
        <v>1779</v>
      </c>
      <c r="E720" s="68" t="s">
        <v>38</v>
      </c>
      <c r="F720" s="69">
        <v>46036.347916666666</v>
      </c>
      <c r="G720" s="68">
        <v>2208</v>
      </c>
      <c r="H720" s="68" t="s">
        <v>14</v>
      </c>
      <c r="I720" s="79">
        <v>46045.392060185186</v>
      </c>
      <c r="J720" s="68">
        <v>1914</v>
      </c>
      <c r="K720" s="81" t="str">
        <f t="shared" si="27"/>
        <v>OUI</v>
      </c>
      <c r="L720" s="68" t="s">
        <v>16</v>
      </c>
      <c r="M720" s="71" t="s">
        <v>1780</v>
      </c>
      <c r="O720" s="16" t="str">
        <f t="shared" si="28"/>
        <v>OUI</v>
      </c>
    </row>
    <row r="721" spans="1:15" ht="15" customHeight="1" x14ac:dyDescent="0.3">
      <c r="A721" s="67" t="s">
        <v>34</v>
      </c>
      <c r="B721" s="91" t="s">
        <v>1776</v>
      </c>
      <c r="C721" s="68" t="s">
        <v>93</v>
      </c>
      <c r="D721" s="68" t="s">
        <v>1781</v>
      </c>
      <c r="E721" s="68" t="s">
        <v>38</v>
      </c>
      <c r="F721" s="69">
        <v>46036.365277777775</v>
      </c>
      <c r="G721" s="68">
        <v>2210</v>
      </c>
      <c r="H721" s="68" t="s">
        <v>14</v>
      </c>
      <c r="I721" s="79">
        <v>46045.391793981478</v>
      </c>
      <c r="J721" s="68">
        <v>1915</v>
      </c>
      <c r="K721" s="81" t="str">
        <f t="shared" si="27"/>
        <v>OUI</v>
      </c>
      <c r="L721" s="68" t="s">
        <v>16</v>
      </c>
      <c r="M721" s="71" t="s">
        <v>1782</v>
      </c>
      <c r="O721" s="16" t="str">
        <f t="shared" si="28"/>
        <v>OUI</v>
      </c>
    </row>
    <row r="722" spans="1:15" ht="15" customHeight="1" x14ac:dyDescent="0.3">
      <c r="A722" s="67" t="s">
        <v>34</v>
      </c>
      <c r="B722" s="91" t="s">
        <v>1776</v>
      </c>
      <c r="C722" s="68" t="s">
        <v>36</v>
      </c>
      <c r="D722" s="68" t="s">
        <v>1783</v>
      </c>
      <c r="E722" s="68" t="s">
        <v>38</v>
      </c>
      <c r="F722" s="69">
        <v>46036.370833333334</v>
      </c>
      <c r="G722" s="68">
        <v>2212</v>
      </c>
      <c r="H722" s="68" t="s">
        <v>14</v>
      </c>
      <c r="I722" s="79">
        <v>46045.391574074078</v>
      </c>
      <c r="J722" s="68">
        <v>1916</v>
      </c>
      <c r="K722" s="81" t="str">
        <f t="shared" si="27"/>
        <v>OUI</v>
      </c>
      <c r="L722" s="68" t="s">
        <v>16</v>
      </c>
      <c r="M722" s="71" t="s">
        <v>1784</v>
      </c>
      <c r="O722" s="16" t="str">
        <f t="shared" si="28"/>
        <v>OUI</v>
      </c>
    </row>
    <row r="723" spans="1:15" ht="15" customHeight="1" x14ac:dyDescent="0.3">
      <c r="A723" s="67" t="s">
        <v>34</v>
      </c>
      <c r="B723" s="91" t="s">
        <v>1776</v>
      </c>
      <c r="C723" s="68" t="s">
        <v>36</v>
      </c>
      <c r="D723" s="68" t="s">
        <v>1785</v>
      </c>
      <c r="E723" s="68" t="s">
        <v>38</v>
      </c>
      <c r="F723" s="69">
        <v>46036.37222222222</v>
      </c>
      <c r="G723" s="68">
        <v>2214</v>
      </c>
      <c r="H723" s="68" t="s">
        <v>14</v>
      </c>
      <c r="I723" s="79">
        <v>46045.391331018516</v>
      </c>
      <c r="J723" s="68">
        <v>1917</v>
      </c>
      <c r="K723" s="81" t="str">
        <f t="shared" si="27"/>
        <v>OUI</v>
      </c>
      <c r="L723" s="68" t="s">
        <v>16</v>
      </c>
      <c r="M723" s="71" t="s">
        <v>1786</v>
      </c>
      <c r="O723" s="16" t="str">
        <f t="shared" si="28"/>
        <v>OUI</v>
      </c>
    </row>
    <row r="724" spans="1:15" ht="15" customHeight="1" x14ac:dyDescent="0.3">
      <c r="A724" s="67" t="s">
        <v>34</v>
      </c>
      <c r="B724" s="91" t="s">
        <v>1776</v>
      </c>
      <c r="C724" s="68" t="s">
        <v>36</v>
      </c>
      <c r="D724" s="68" t="s">
        <v>1787</v>
      </c>
      <c r="E724" s="68" t="s">
        <v>38</v>
      </c>
      <c r="F724" s="69">
        <v>46036.374305555553</v>
      </c>
      <c r="G724" s="68">
        <v>2216</v>
      </c>
      <c r="H724" s="68" t="s">
        <v>14</v>
      </c>
      <c r="I724" s="79">
        <v>46045.391064814816</v>
      </c>
      <c r="J724" s="68">
        <v>1918</v>
      </c>
      <c r="K724" s="81" t="str">
        <f t="shared" si="27"/>
        <v>OUI</v>
      </c>
      <c r="L724" s="68" t="s">
        <v>16</v>
      </c>
      <c r="M724" s="71" t="s">
        <v>1788</v>
      </c>
      <c r="O724" s="16" t="str">
        <f t="shared" si="28"/>
        <v>OUI</v>
      </c>
    </row>
    <row r="725" spans="1:15" ht="15" customHeight="1" x14ac:dyDescent="0.3">
      <c r="A725" s="67" t="s">
        <v>34</v>
      </c>
      <c r="B725" s="91" t="s">
        <v>1776</v>
      </c>
      <c r="C725" s="68" t="s">
        <v>36</v>
      </c>
      <c r="D725" s="68" t="s">
        <v>1789</v>
      </c>
      <c r="E725" s="68" t="s">
        <v>38</v>
      </c>
      <c r="F725" s="69">
        <v>46036.375694444447</v>
      </c>
      <c r="G725" s="68">
        <v>2218</v>
      </c>
      <c r="H725" s="68" t="s">
        <v>14</v>
      </c>
      <c r="I725" s="79">
        <v>46045.390798611108</v>
      </c>
      <c r="J725" s="68">
        <v>1919</v>
      </c>
      <c r="K725" s="81" t="str">
        <f t="shared" si="27"/>
        <v>OUI</v>
      </c>
      <c r="L725" s="68" t="s">
        <v>16</v>
      </c>
      <c r="M725" s="71" t="s">
        <v>1790</v>
      </c>
      <c r="O725" s="16" t="str">
        <f t="shared" si="28"/>
        <v>OUI</v>
      </c>
    </row>
    <row r="726" spans="1:15" ht="15" customHeight="1" x14ac:dyDescent="0.3">
      <c r="A726" s="67" t="s">
        <v>34</v>
      </c>
      <c r="B726" s="91" t="s">
        <v>1776</v>
      </c>
      <c r="C726" s="68" t="s">
        <v>36</v>
      </c>
      <c r="D726" s="68" t="s">
        <v>1791</v>
      </c>
      <c r="E726" s="68" t="s">
        <v>38</v>
      </c>
      <c r="F726" s="69">
        <v>46036.37777777778</v>
      </c>
      <c r="G726" s="68">
        <v>2220</v>
      </c>
      <c r="H726" s="68" t="s">
        <v>14</v>
      </c>
      <c r="I726" s="79">
        <v>46045.390555555554</v>
      </c>
      <c r="J726" s="68">
        <v>1920</v>
      </c>
      <c r="K726" s="81" t="str">
        <f t="shared" si="27"/>
        <v>OUI</v>
      </c>
      <c r="L726" s="68" t="s">
        <v>16</v>
      </c>
      <c r="M726" s="71" t="s">
        <v>1792</v>
      </c>
      <c r="O726" s="16" t="str">
        <f t="shared" si="28"/>
        <v>OUI</v>
      </c>
    </row>
    <row r="727" spans="1:15" ht="15" customHeight="1" x14ac:dyDescent="0.3">
      <c r="A727" s="67" t="s">
        <v>34</v>
      </c>
      <c r="B727" s="91" t="s">
        <v>1776</v>
      </c>
      <c r="C727" s="68" t="s">
        <v>36</v>
      </c>
      <c r="D727" s="68" t="s">
        <v>1793</v>
      </c>
      <c r="E727" s="68" t="s">
        <v>38</v>
      </c>
      <c r="F727" s="69">
        <v>46036.388194444444</v>
      </c>
      <c r="G727" s="68">
        <v>2222</v>
      </c>
      <c r="H727" s="68" t="s">
        <v>14</v>
      </c>
      <c r="I727" s="79">
        <v>46045.390324074076</v>
      </c>
      <c r="J727" s="68">
        <v>1921</v>
      </c>
      <c r="K727" s="81" t="str">
        <f t="shared" si="27"/>
        <v>OUI</v>
      </c>
      <c r="L727" s="68" t="s">
        <v>16</v>
      </c>
      <c r="M727" s="71" t="s">
        <v>1794</v>
      </c>
      <c r="O727" s="16" t="str">
        <f t="shared" si="28"/>
        <v>OUI</v>
      </c>
    </row>
    <row r="728" spans="1:15" ht="15" customHeight="1" x14ac:dyDescent="0.3">
      <c r="A728" s="67" t="s">
        <v>34</v>
      </c>
      <c r="B728" s="91" t="s">
        <v>1776</v>
      </c>
      <c r="C728" s="68" t="s">
        <v>36</v>
      </c>
      <c r="D728" s="68" t="s">
        <v>1795</v>
      </c>
      <c r="E728" s="68" t="s">
        <v>38</v>
      </c>
      <c r="F728" s="69">
        <v>46036.38958333333</v>
      </c>
      <c r="G728" s="68">
        <v>2224</v>
      </c>
      <c r="H728" s="68" t="s">
        <v>14</v>
      </c>
      <c r="I728" s="79">
        <v>46045.390034722222</v>
      </c>
      <c r="J728" s="68">
        <v>1922</v>
      </c>
      <c r="K728" s="81" t="str">
        <f t="shared" si="27"/>
        <v>OUI</v>
      </c>
      <c r="L728" s="68" t="s">
        <v>16</v>
      </c>
      <c r="M728" s="71" t="s">
        <v>1796</v>
      </c>
      <c r="O728" s="16" t="str">
        <f t="shared" si="28"/>
        <v>OUI</v>
      </c>
    </row>
    <row r="729" spans="1:15" ht="15" customHeight="1" x14ac:dyDescent="0.3">
      <c r="A729" s="67" t="s">
        <v>34</v>
      </c>
      <c r="B729" s="91" t="s">
        <v>1776</v>
      </c>
      <c r="C729" s="68" t="s">
        <v>36</v>
      </c>
      <c r="D729" s="68" t="s">
        <v>1797</v>
      </c>
      <c r="E729" s="68" t="s">
        <v>38</v>
      </c>
      <c r="F729" s="69">
        <v>46036.39166666667</v>
      </c>
      <c r="G729" s="68">
        <v>2226</v>
      </c>
      <c r="H729" s="68" t="s">
        <v>14</v>
      </c>
      <c r="I729" s="79">
        <v>46045.389756944445</v>
      </c>
      <c r="J729" s="68">
        <v>1923</v>
      </c>
      <c r="K729" s="81" t="str">
        <f t="shared" si="27"/>
        <v>OUI</v>
      </c>
      <c r="L729" s="68" t="s">
        <v>16</v>
      </c>
      <c r="M729" s="71" t="s">
        <v>1798</v>
      </c>
      <c r="O729" s="16" t="str">
        <f t="shared" si="28"/>
        <v>OUI</v>
      </c>
    </row>
    <row r="730" spans="1:15" ht="15" customHeight="1" x14ac:dyDescent="0.3">
      <c r="A730" s="67" t="s">
        <v>34</v>
      </c>
      <c r="B730" s="91" t="s">
        <v>1776</v>
      </c>
      <c r="C730" s="68" t="s">
        <v>36</v>
      </c>
      <c r="D730" s="68" t="s">
        <v>1799</v>
      </c>
      <c r="E730" s="68" t="s">
        <v>38</v>
      </c>
      <c r="F730" s="69">
        <v>46036.393750000003</v>
      </c>
      <c r="G730" s="68">
        <v>2228</v>
      </c>
      <c r="H730" s="68" t="s">
        <v>14</v>
      </c>
      <c r="I730" s="79">
        <v>46045.389490740738</v>
      </c>
      <c r="J730" s="68">
        <v>1924</v>
      </c>
      <c r="K730" s="81" t="str">
        <f t="shared" si="27"/>
        <v>OUI</v>
      </c>
      <c r="L730" s="68" t="s">
        <v>16</v>
      </c>
      <c r="M730" s="71" t="s">
        <v>1800</v>
      </c>
      <c r="O730" s="16" t="str">
        <f t="shared" si="28"/>
        <v>OUI</v>
      </c>
    </row>
    <row r="731" spans="1:15" ht="15" customHeight="1" x14ac:dyDescent="0.3">
      <c r="A731" s="67" t="s">
        <v>34</v>
      </c>
      <c r="B731" s="91" t="s">
        <v>1776</v>
      </c>
      <c r="C731" s="68" t="s">
        <v>36</v>
      </c>
      <c r="D731" s="68" t="s">
        <v>1801</v>
      </c>
      <c r="E731" s="68" t="s">
        <v>38</v>
      </c>
      <c r="F731" s="69">
        <v>46036.395833333336</v>
      </c>
      <c r="G731" s="68">
        <v>2230</v>
      </c>
      <c r="H731" s="68" t="s">
        <v>14</v>
      </c>
      <c r="I731" s="79">
        <v>46045.389201388891</v>
      </c>
      <c r="J731" s="68">
        <v>1925</v>
      </c>
      <c r="K731" s="81" t="str">
        <f t="shared" si="27"/>
        <v>OUI</v>
      </c>
      <c r="L731" s="68" t="s">
        <v>16</v>
      </c>
      <c r="M731" s="71" t="s">
        <v>1802</v>
      </c>
      <c r="O731" s="16" t="str">
        <f t="shared" si="28"/>
        <v>OUI</v>
      </c>
    </row>
    <row r="732" spans="1:15" ht="15" customHeight="1" x14ac:dyDescent="0.3">
      <c r="A732" s="67" t="s">
        <v>34</v>
      </c>
      <c r="B732" s="91" t="s">
        <v>1776</v>
      </c>
      <c r="C732" s="68" t="s">
        <v>36</v>
      </c>
      <c r="D732" s="68" t="s">
        <v>1803</v>
      </c>
      <c r="E732" s="68" t="s">
        <v>38</v>
      </c>
      <c r="F732" s="69">
        <v>46036.397222222222</v>
      </c>
      <c r="G732" s="68">
        <v>2232</v>
      </c>
      <c r="H732" s="68" t="s">
        <v>14</v>
      </c>
      <c r="I732" s="79">
        <v>46045.388923611114</v>
      </c>
      <c r="J732" s="68">
        <v>1926</v>
      </c>
      <c r="K732" s="81" t="str">
        <f t="shared" si="27"/>
        <v>OUI</v>
      </c>
      <c r="L732" s="68" t="s">
        <v>16</v>
      </c>
      <c r="M732" s="71" t="s">
        <v>1804</v>
      </c>
      <c r="O732" s="16" t="str">
        <f t="shared" si="28"/>
        <v>OUI</v>
      </c>
    </row>
    <row r="733" spans="1:15" ht="15" customHeight="1" x14ac:dyDescent="0.3">
      <c r="A733" s="67" t="s">
        <v>34</v>
      </c>
      <c r="B733" s="91" t="s">
        <v>1776</v>
      </c>
      <c r="C733" s="68" t="s">
        <v>36</v>
      </c>
      <c r="D733" s="68" t="s">
        <v>1805</v>
      </c>
      <c r="E733" s="68" t="s">
        <v>38</v>
      </c>
      <c r="F733" s="69">
        <v>46036.401388888888</v>
      </c>
      <c r="G733" s="68">
        <v>2234</v>
      </c>
      <c r="H733" s="68" t="s">
        <v>14</v>
      </c>
      <c r="I733" s="79">
        <v>46045.388680555552</v>
      </c>
      <c r="J733" s="68">
        <v>1927</v>
      </c>
      <c r="K733" s="81" t="str">
        <f t="shared" si="27"/>
        <v>OUI</v>
      </c>
      <c r="L733" s="68" t="s">
        <v>16</v>
      </c>
      <c r="M733" s="71" t="s">
        <v>1804</v>
      </c>
      <c r="O733" s="16" t="str">
        <f t="shared" si="28"/>
        <v>OUI</v>
      </c>
    </row>
    <row r="734" spans="1:15" ht="15" customHeight="1" x14ac:dyDescent="0.3">
      <c r="A734" s="67" t="s">
        <v>34</v>
      </c>
      <c r="B734" s="91" t="s">
        <v>1776</v>
      </c>
      <c r="C734" s="68" t="s">
        <v>36</v>
      </c>
      <c r="D734" s="68" t="s">
        <v>1806</v>
      </c>
      <c r="E734" s="68" t="s">
        <v>38</v>
      </c>
      <c r="F734" s="69">
        <v>46036.407638888886</v>
      </c>
      <c r="G734" s="68">
        <v>2236</v>
      </c>
      <c r="H734" s="68" t="s">
        <v>14</v>
      </c>
      <c r="I734" s="79">
        <v>46045.388414351852</v>
      </c>
      <c r="J734" s="68">
        <v>1928</v>
      </c>
      <c r="K734" s="81" t="str">
        <f t="shared" si="27"/>
        <v>OUI</v>
      </c>
      <c r="L734" s="68" t="s">
        <v>16</v>
      </c>
      <c r="M734" s="71" t="s">
        <v>1807</v>
      </c>
      <c r="O734" s="16" t="str">
        <f t="shared" si="28"/>
        <v>OUI</v>
      </c>
    </row>
    <row r="735" spans="1:15" ht="15" customHeight="1" x14ac:dyDescent="0.3">
      <c r="A735" s="67" t="s">
        <v>34</v>
      </c>
      <c r="B735" s="91" t="s">
        <v>1776</v>
      </c>
      <c r="C735" s="68" t="s">
        <v>36</v>
      </c>
      <c r="D735" s="68" t="s">
        <v>1808</v>
      </c>
      <c r="E735" s="68" t="s">
        <v>38</v>
      </c>
      <c r="F735" s="69">
        <v>46036.40902777778</v>
      </c>
      <c r="G735" s="68">
        <v>2238</v>
      </c>
      <c r="H735" s="68" t="s">
        <v>14</v>
      </c>
      <c r="I735" s="79">
        <v>46045.388124999998</v>
      </c>
      <c r="J735" s="68">
        <v>1929</v>
      </c>
      <c r="K735" s="81" t="str">
        <f t="shared" si="27"/>
        <v>OUI</v>
      </c>
      <c r="L735" s="68" t="s">
        <v>16</v>
      </c>
      <c r="M735" s="71" t="s">
        <v>1809</v>
      </c>
      <c r="O735" s="16" t="str">
        <f t="shared" si="28"/>
        <v>OUI</v>
      </c>
    </row>
    <row r="736" spans="1:15" ht="15" customHeight="1" x14ac:dyDescent="0.3">
      <c r="A736" s="67" t="s">
        <v>34</v>
      </c>
      <c r="B736" s="91" t="s">
        <v>1776</v>
      </c>
      <c r="C736" s="68" t="s">
        <v>36</v>
      </c>
      <c r="D736" s="68" t="s">
        <v>1810</v>
      </c>
      <c r="E736" s="68" t="s">
        <v>38</v>
      </c>
      <c r="F736" s="69">
        <v>46036.411111111112</v>
      </c>
      <c r="G736" s="68">
        <v>2240</v>
      </c>
      <c r="H736" s="68" t="s">
        <v>14</v>
      </c>
      <c r="I736" s="79">
        <v>46045.387858796297</v>
      </c>
      <c r="J736" s="68">
        <v>1930</v>
      </c>
      <c r="K736" s="81" t="str">
        <f t="shared" si="27"/>
        <v>OUI</v>
      </c>
      <c r="L736" s="68" t="s">
        <v>16</v>
      </c>
      <c r="M736" s="71" t="s">
        <v>1811</v>
      </c>
      <c r="O736" s="16" t="str">
        <f t="shared" si="28"/>
        <v>OUI</v>
      </c>
    </row>
    <row r="737" spans="1:15" ht="15" customHeight="1" x14ac:dyDescent="0.3">
      <c r="A737" s="67" t="s">
        <v>34</v>
      </c>
      <c r="B737" s="91" t="s">
        <v>1776</v>
      </c>
      <c r="C737" s="68" t="s">
        <v>36</v>
      </c>
      <c r="D737" s="68" t="s">
        <v>1812</v>
      </c>
      <c r="E737" s="68" t="s">
        <v>38</v>
      </c>
      <c r="F737" s="69">
        <v>46036.413888888892</v>
      </c>
      <c r="G737" s="68">
        <v>2242</v>
      </c>
      <c r="H737" s="68" t="s">
        <v>14</v>
      </c>
      <c r="I737" s="79">
        <v>46045.387523148151</v>
      </c>
      <c r="J737" s="68">
        <v>1931</v>
      </c>
      <c r="K737" s="81" t="str">
        <f t="shared" si="27"/>
        <v>OUI</v>
      </c>
      <c r="L737" s="68" t="s">
        <v>16</v>
      </c>
      <c r="M737" s="71" t="s">
        <v>1813</v>
      </c>
      <c r="O737" s="16" t="str">
        <f t="shared" si="28"/>
        <v>OUI</v>
      </c>
    </row>
    <row r="738" spans="1:15" ht="15" customHeight="1" x14ac:dyDescent="0.3">
      <c r="A738" s="67" t="s">
        <v>34</v>
      </c>
      <c r="B738" s="91" t="s">
        <v>1776</v>
      </c>
      <c r="C738" s="68" t="s">
        <v>36</v>
      </c>
      <c r="D738" s="68" t="s">
        <v>1814</v>
      </c>
      <c r="E738" s="68" t="s">
        <v>38</v>
      </c>
      <c r="F738" s="69">
        <v>46036.416666666664</v>
      </c>
      <c r="G738" s="68">
        <v>2244</v>
      </c>
      <c r="H738" s="68" t="s">
        <v>14</v>
      </c>
      <c r="I738" s="79">
        <v>46045.38722222222</v>
      </c>
      <c r="J738" s="68">
        <v>1932</v>
      </c>
      <c r="K738" s="81" t="str">
        <f t="shared" si="27"/>
        <v>OUI</v>
      </c>
      <c r="L738" s="68" t="s">
        <v>16</v>
      </c>
      <c r="M738" s="71" t="s">
        <v>1815</v>
      </c>
      <c r="O738" s="16" t="str">
        <f t="shared" si="28"/>
        <v>OUI</v>
      </c>
    </row>
    <row r="739" spans="1:15" ht="15" customHeight="1" x14ac:dyDescent="0.3">
      <c r="A739" s="67" t="s">
        <v>34</v>
      </c>
      <c r="B739" s="91" t="s">
        <v>1776</v>
      </c>
      <c r="C739" s="68" t="s">
        <v>36</v>
      </c>
      <c r="D739" s="68" t="s">
        <v>1816</v>
      </c>
      <c r="E739" s="68" t="s">
        <v>38</v>
      </c>
      <c r="F739" s="69">
        <v>46036.419444444444</v>
      </c>
      <c r="G739" s="68">
        <v>2246</v>
      </c>
      <c r="H739" s="68" t="s">
        <v>14</v>
      </c>
      <c r="I739" s="79">
        <v>46045.386967592596</v>
      </c>
      <c r="J739" s="68">
        <v>1933</v>
      </c>
      <c r="K739" s="81" t="str">
        <f t="shared" si="27"/>
        <v>OUI</v>
      </c>
      <c r="L739" s="68" t="s">
        <v>16</v>
      </c>
      <c r="M739" s="71" t="s">
        <v>1817</v>
      </c>
      <c r="O739" s="16" t="str">
        <f t="shared" si="28"/>
        <v>OUI</v>
      </c>
    </row>
    <row r="740" spans="1:15" ht="15" customHeight="1" x14ac:dyDescent="0.3">
      <c r="A740" s="67" t="s">
        <v>34</v>
      </c>
      <c r="B740" s="91" t="s">
        <v>1776</v>
      </c>
      <c r="C740" s="68" t="s">
        <v>36</v>
      </c>
      <c r="D740" s="68" t="s">
        <v>1818</v>
      </c>
      <c r="E740" s="68" t="s">
        <v>38</v>
      </c>
      <c r="F740" s="69">
        <v>46036.426388888889</v>
      </c>
      <c r="G740" s="68">
        <v>2248</v>
      </c>
      <c r="H740" s="68" t="s">
        <v>14</v>
      </c>
      <c r="I740" s="79">
        <v>46045.386736111112</v>
      </c>
      <c r="J740" s="68">
        <v>1934</v>
      </c>
      <c r="K740" s="81" t="str">
        <f t="shared" si="27"/>
        <v>OUI</v>
      </c>
      <c r="L740" s="68" t="s">
        <v>16</v>
      </c>
      <c r="M740" s="71" t="s">
        <v>1819</v>
      </c>
      <c r="O740" s="16" t="str">
        <f t="shared" si="28"/>
        <v>OUI</v>
      </c>
    </row>
    <row r="741" spans="1:15" ht="15" customHeight="1" x14ac:dyDescent="0.3">
      <c r="A741" s="67" t="s">
        <v>34</v>
      </c>
      <c r="B741" s="91" t="s">
        <v>1776</v>
      </c>
      <c r="C741" s="68" t="s">
        <v>88</v>
      </c>
      <c r="D741" s="68" t="s">
        <v>1820</v>
      </c>
      <c r="E741" s="68" t="s">
        <v>38</v>
      </c>
      <c r="F741" s="69">
        <v>46036.436805555553</v>
      </c>
      <c r="G741" s="68">
        <v>2250</v>
      </c>
      <c r="H741" s="68" t="s">
        <v>14</v>
      </c>
      <c r="I741" s="79">
        <v>46045.386504629627</v>
      </c>
      <c r="J741" s="68">
        <v>1935</v>
      </c>
      <c r="K741" s="81" t="str">
        <f t="shared" si="27"/>
        <v>OUI</v>
      </c>
      <c r="L741" s="68" t="s">
        <v>16</v>
      </c>
      <c r="M741" s="71" t="s">
        <v>1821</v>
      </c>
      <c r="O741" s="16" t="str">
        <f t="shared" si="28"/>
        <v>OUI</v>
      </c>
    </row>
    <row r="742" spans="1:15" ht="15" customHeight="1" x14ac:dyDescent="0.3">
      <c r="A742" s="67" t="s">
        <v>34</v>
      </c>
      <c r="B742" s="91" t="s">
        <v>1776</v>
      </c>
      <c r="C742" s="68" t="s">
        <v>88</v>
      </c>
      <c r="D742" s="68" t="s">
        <v>1822</v>
      </c>
      <c r="E742" s="68" t="s">
        <v>38</v>
      </c>
      <c r="F742" s="69">
        <v>46037.375694444447</v>
      </c>
      <c r="G742" s="68">
        <v>2252</v>
      </c>
      <c r="H742" s="68" t="s">
        <v>14</v>
      </c>
      <c r="I742" s="79">
        <v>46045.386273148149</v>
      </c>
      <c r="J742" s="68">
        <v>1936</v>
      </c>
      <c r="K742" s="81" t="str">
        <f t="shared" si="27"/>
        <v>OUI</v>
      </c>
      <c r="L742" s="68" t="s">
        <v>16</v>
      </c>
      <c r="M742" s="71" t="s">
        <v>1823</v>
      </c>
      <c r="O742" s="16" t="str">
        <f t="shared" si="28"/>
        <v>OUI</v>
      </c>
    </row>
    <row r="743" spans="1:15" ht="15" customHeight="1" x14ac:dyDescent="0.3">
      <c r="A743" s="72" t="s">
        <v>34</v>
      </c>
      <c r="B743" s="90" t="s">
        <v>1824</v>
      </c>
      <c r="C743" s="73" t="s">
        <v>398</v>
      </c>
      <c r="D743" s="73" t="s">
        <v>1825</v>
      </c>
      <c r="E743" s="73" t="s">
        <v>38</v>
      </c>
      <c r="F743" s="74">
        <v>46037.378472222219</v>
      </c>
      <c r="G743" s="73">
        <v>1937</v>
      </c>
      <c r="H743" s="73" t="s">
        <v>24</v>
      </c>
      <c r="I743" s="80">
        <v>46037.379861111112</v>
      </c>
      <c r="J743" s="73">
        <v>1937</v>
      </c>
      <c r="K743" s="81" t="str">
        <f t="shared" si="27"/>
        <v>OUI</v>
      </c>
      <c r="L743" s="73" t="s">
        <v>16</v>
      </c>
      <c r="M743" s="76" t="s">
        <v>1826</v>
      </c>
      <c r="N743" s="38">
        <v>46037</v>
      </c>
      <c r="O743" s="16" t="str">
        <f t="shared" si="28"/>
        <v>OUI</v>
      </c>
    </row>
    <row r="744" spans="1:15" ht="15" customHeight="1" x14ac:dyDescent="0.3">
      <c r="A744" s="67" t="s">
        <v>34</v>
      </c>
      <c r="B744" s="91" t="s">
        <v>1827</v>
      </c>
      <c r="C744" s="68" t="s">
        <v>63</v>
      </c>
      <c r="D744" s="68" t="s">
        <v>1828</v>
      </c>
      <c r="E744" s="68" t="s">
        <v>38</v>
      </c>
      <c r="F744" s="69">
        <v>46041.46875</v>
      </c>
      <c r="G744" s="68">
        <v>2254</v>
      </c>
      <c r="H744" s="68" t="s">
        <v>14</v>
      </c>
      <c r="I744" s="79">
        <v>46045.386006944442</v>
      </c>
      <c r="J744" s="68">
        <v>1938</v>
      </c>
      <c r="K744" s="81" t="str">
        <f t="shared" si="27"/>
        <v>OUI</v>
      </c>
      <c r="L744" s="68" t="s">
        <v>16</v>
      </c>
      <c r="M744" s="71" t="s">
        <v>1829</v>
      </c>
      <c r="O744" s="16" t="str">
        <f t="shared" si="28"/>
        <v>OUI</v>
      </c>
    </row>
    <row r="745" spans="1:15" ht="15" customHeight="1" x14ac:dyDescent="0.3">
      <c r="A745" s="67" t="s">
        <v>34</v>
      </c>
      <c r="B745" s="91" t="s">
        <v>1776</v>
      </c>
      <c r="C745" s="68" t="s">
        <v>63</v>
      </c>
      <c r="D745" s="68" t="s">
        <v>1830</v>
      </c>
      <c r="E745" s="68" t="s">
        <v>38</v>
      </c>
      <c r="F745" s="69">
        <v>46041.474305555559</v>
      </c>
      <c r="G745" s="68">
        <v>2256</v>
      </c>
      <c r="H745" s="68" t="s">
        <v>14</v>
      </c>
      <c r="I745" s="79">
        <v>46045.385775462964</v>
      </c>
      <c r="J745" s="68">
        <v>1939</v>
      </c>
      <c r="K745" s="81" t="str">
        <f t="shared" si="27"/>
        <v>OUI</v>
      </c>
      <c r="L745" s="68" t="s">
        <v>16</v>
      </c>
      <c r="M745" s="71" t="s">
        <v>1831</v>
      </c>
      <c r="O745" s="16" t="str">
        <f t="shared" si="28"/>
        <v>OUI</v>
      </c>
    </row>
    <row r="746" spans="1:15" ht="15" customHeight="1" x14ac:dyDescent="0.3">
      <c r="A746" s="67" t="s">
        <v>34</v>
      </c>
      <c r="B746" s="91" t="s">
        <v>1776</v>
      </c>
      <c r="C746" s="68" t="s">
        <v>36</v>
      </c>
      <c r="D746" s="68" t="s">
        <v>1832</v>
      </c>
      <c r="E746" s="68" t="s">
        <v>38</v>
      </c>
      <c r="F746" s="69">
        <v>46041.478472222225</v>
      </c>
      <c r="G746" s="68">
        <v>2258</v>
      </c>
      <c r="H746" s="68" t="s">
        <v>14</v>
      </c>
      <c r="I746" s="79">
        <v>46045.38553240741</v>
      </c>
      <c r="J746" s="68">
        <v>1940</v>
      </c>
      <c r="K746" s="81" t="str">
        <f t="shared" si="27"/>
        <v>OUI</v>
      </c>
      <c r="L746" s="68" t="s">
        <v>16</v>
      </c>
      <c r="M746" s="71" t="s">
        <v>1833</v>
      </c>
      <c r="O746" s="16" t="str">
        <f t="shared" si="28"/>
        <v>OUI</v>
      </c>
    </row>
    <row r="747" spans="1:15" ht="15" customHeight="1" x14ac:dyDescent="0.3">
      <c r="A747" s="67" t="s">
        <v>34</v>
      </c>
      <c r="B747" s="91" t="s">
        <v>1776</v>
      </c>
      <c r="C747" s="68" t="s">
        <v>66</v>
      </c>
      <c r="D747" s="68" t="s">
        <v>1834</v>
      </c>
      <c r="E747" s="68" t="s">
        <v>38</v>
      </c>
      <c r="F747" s="69">
        <v>46041.479861111111</v>
      </c>
      <c r="G747" s="68">
        <v>2260</v>
      </c>
      <c r="H747" s="68" t="s">
        <v>14</v>
      </c>
      <c r="I747" s="79">
        <v>46045.385115740741</v>
      </c>
      <c r="J747" s="68">
        <v>1941</v>
      </c>
      <c r="K747" s="81" t="str">
        <f t="shared" si="27"/>
        <v>OUI</v>
      </c>
      <c r="L747" s="68" t="s">
        <v>16</v>
      </c>
      <c r="M747" s="71" t="s">
        <v>1835</v>
      </c>
      <c r="O747" s="16" t="str">
        <f t="shared" si="28"/>
        <v>OUI</v>
      </c>
    </row>
    <row r="748" spans="1:15" ht="15" customHeight="1" x14ac:dyDescent="0.3">
      <c r="A748" s="67" t="s">
        <v>34</v>
      </c>
      <c r="B748" s="91" t="s">
        <v>1776</v>
      </c>
      <c r="C748" s="68" t="s">
        <v>66</v>
      </c>
      <c r="D748" s="68" t="s">
        <v>1836</v>
      </c>
      <c r="E748" s="68" t="s">
        <v>38</v>
      </c>
      <c r="F748" s="69">
        <v>46041.482638888891</v>
      </c>
      <c r="G748" s="68">
        <v>2262</v>
      </c>
      <c r="H748" s="68" t="s">
        <v>14</v>
      </c>
      <c r="I748" s="79">
        <v>46045.38484953704</v>
      </c>
      <c r="J748" s="68">
        <v>1942</v>
      </c>
      <c r="K748" s="81" t="str">
        <f t="shared" si="27"/>
        <v>OUI</v>
      </c>
      <c r="L748" s="68" t="s">
        <v>16</v>
      </c>
      <c r="M748" s="71" t="s">
        <v>1837</v>
      </c>
      <c r="O748" s="16" t="str">
        <f t="shared" si="28"/>
        <v>OUI</v>
      </c>
    </row>
    <row r="749" spans="1:15" ht="15" customHeight="1" x14ac:dyDescent="0.3">
      <c r="A749" s="67" t="s">
        <v>34</v>
      </c>
      <c r="B749" s="91" t="s">
        <v>1776</v>
      </c>
      <c r="C749" s="68" t="s">
        <v>361</v>
      </c>
      <c r="D749" s="68" t="s">
        <v>1838</v>
      </c>
      <c r="E749" s="68" t="s">
        <v>38</v>
      </c>
      <c r="F749" s="69">
        <v>46041.484027777777</v>
      </c>
      <c r="G749" s="68">
        <v>2264</v>
      </c>
      <c r="H749" s="68" t="s">
        <v>14</v>
      </c>
      <c r="I749" s="79">
        <v>46045.384583333333</v>
      </c>
      <c r="J749" s="68">
        <v>1943</v>
      </c>
      <c r="K749" s="81" t="str">
        <f t="shared" si="27"/>
        <v>OUI</v>
      </c>
      <c r="L749" s="68" t="s">
        <v>16</v>
      </c>
      <c r="M749" s="71" t="s">
        <v>1839</v>
      </c>
      <c r="O749" s="16" t="str">
        <f t="shared" si="28"/>
        <v>OUI</v>
      </c>
    </row>
    <row r="750" spans="1:15" ht="15" customHeight="1" x14ac:dyDescent="0.3">
      <c r="A750" s="67" t="s">
        <v>34</v>
      </c>
      <c r="B750" s="91" t="s">
        <v>1776</v>
      </c>
      <c r="C750" s="68" t="s">
        <v>361</v>
      </c>
      <c r="D750" s="68" t="s">
        <v>1840</v>
      </c>
      <c r="E750" s="68" t="s">
        <v>38</v>
      </c>
      <c r="F750" s="69">
        <v>46041.486111111109</v>
      </c>
      <c r="G750" s="68">
        <v>2266</v>
      </c>
      <c r="H750" s="68" t="s">
        <v>14</v>
      </c>
      <c r="I750" s="79">
        <v>46045.384247685186</v>
      </c>
      <c r="J750" s="68">
        <v>1944</v>
      </c>
      <c r="K750" s="81" t="str">
        <f t="shared" si="27"/>
        <v>OUI</v>
      </c>
      <c r="L750" s="68" t="s">
        <v>16</v>
      </c>
      <c r="M750" s="71" t="s">
        <v>1841</v>
      </c>
      <c r="O750" s="16" t="str">
        <f t="shared" si="28"/>
        <v>OUI</v>
      </c>
    </row>
    <row r="751" spans="1:15" ht="15" customHeight="1" x14ac:dyDescent="0.3">
      <c r="A751" s="67" t="s">
        <v>34</v>
      </c>
      <c r="B751" s="91" t="s">
        <v>1776</v>
      </c>
      <c r="C751" s="68" t="s">
        <v>361</v>
      </c>
      <c r="D751" s="68" t="s">
        <v>1842</v>
      </c>
      <c r="E751" s="68" t="s">
        <v>38</v>
      </c>
      <c r="F751" s="69">
        <v>46041.487500000003</v>
      </c>
      <c r="G751" s="68">
        <v>2268</v>
      </c>
      <c r="H751" s="68" t="s">
        <v>14</v>
      </c>
      <c r="I751" s="79">
        <v>46045.383935185186</v>
      </c>
      <c r="J751" s="68">
        <v>1945</v>
      </c>
      <c r="K751" s="81" t="str">
        <f t="shared" si="27"/>
        <v>OUI</v>
      </c>
      <c r="L751" s="68" t="s">
        <v>16</v>
      </c>
      <c r="M751" s="71" t="s">
        <v>1843</v>
      </c>
      <c r="O751" s="16" t="str">
        <f t="shared" si="28"/>
        <v>OUI</v>
      </c>
    </row>
    <row r="752" spans="1:15" ht="15" customHeight="1" x14ac:dyDescent="0.3">
      <c r="A752" s="67" t="s">
        <v>34</v>
      </c>
      <c r="B752" s="91" t="s">
        <v>1776</v>
      </c>
      <c r="C752" s="68" t="s">
        <v>361</v>
      </c>
      <c r="D752" s="68" t="s">
        <v>1844</v>
      </c>
      <c r="E752" s="68" t="s">
        <v>38</v>
      </c>
      <c r="F752" s="69">
        <v>46041.490277777775</v>
      </c>
      <c r="G752" s="68">
        <v>2270</v>
      </c>
      <c r="H752" s="68" t="s">
        <v>14</v>
      </c>
      <c r="I752" s="79">
        <v>46045.383657407408</v>
      </c>
      <c r="J752" s="68">
        <v>1946</v>
      </c>
      <c r="K752" s="81" t="str">
        <f t="shared" si="27"/>
        <v>OUI</v>
      </c>
      <c r="L752" s="68" t="s">
        <v>16</v>
      </c>
      <c r="M752" s="71" t="s">
        <v>1845</v>
      </c>
      <c r="O752" s="16" t="str">
        <f t="shared" si="28"/>
        <v>OUI</v>
      </c>
    </row>
    <row r="753" spans="1:15" ht="15" customHeight="1" x14ac:dyDescent="0.3">
      <c r="A753" s="67" t="s">
        <v>34</v>
      </c>
      <c r="B753" s="91" t="s">
        <v>1776</v>
      </c>
      <c r="C753" s="68" t="s">
        <v>361</v>
      </c>
      <c r="D753" s="68" t="s">
        <v>1846</v>
      </c>
      <c r="E753" s="68" t="s">
        <v>38</v>
      </c>
      <c r="F753" s="69">
        <v>46041.491666666669</v>
      </c>
      <c r="G753" s="68">
        <v>2272</v>
      </c>
      <c r="H753" s="68" t="s">
        <v>14</v>
      </c>
      <c r="I753" s="79">
        <v>46045.383391203701</v>
      </c>
      <c r="J753" s="68">
        <v>1947</v>
      </c>
      <c r="K753" s="81" t="str">
        <f t="shared" si="27"/>
        <v>OUI</v>
      </c>
      <c r="L753" s="68" t="s">
        <v>16</v>
      </c>
      <c r="M753" s="71" t="s">
        <v>1847</v>
      </c>
      <c r="O753" s="16" t="str">
        <f t="shared" si="28"/>
        <v>OUI</v>
      </c>
    </row>
    <row r="754" spans="1:15" ht="15" customHeight="1" x14ac:dyDescent="0.3">
      <c r="A754" s="67" t="s">
        <v>34</v>
      </c>
      <c r="B754" s="91" t="s">
        <v>1776</v>
      </c>
      <c r="C754" s="68" t="s">
        <v>184</v>
      </c>
      <c r="D754" s="68" t="s">
        <v>1848</v>
      </c>
      <c r="E754" s="68" t="s">
        <v>38</v>
      </c>
      <c r="F754" s="69">
        <v>46041.494444444441</v>
      </c>
      <c r="G754" s="68">
        <v>2274</v>
      </c>
      <c r="H754" s="68" t="s">
        <v>14</v>
      </c>
      <c r="I754" s="79">
        <v>46045.383090277777</v>
      </c>
      <c r="J754" s="68">
        <v>1948</v>
      </c>
      <c r="K754" s="81" t="str">
        <f t="shared" si="27"/>
        <v>OUI</v>
      </c>
      <c r="L754" s="68" t="s">
        <v>16</v>
      </c>
      <c r="M754" s="71" t="s">
        <v>1849</v>
      </c>
      <c r="O754" s="16" t="str">
        <f t="shared" si="28"/>
        <v>OUI</v>
      </c>
    </row>
    <row r="755" spans="1:15" ht="15" customHeight="1" x14ac:dyDescent="0.3">
      <c r="A755" s="67" t="s">
        <v>34</v>
      </c>
      <c r="B755" s="91" t="s">
        <v>1776</v>
      </c>
      <c r="C755" s="68" t="s">
        <v>26</v>
      </c>
      <c r="D755" s="68" t="s">
        <v>1850</v>
      </c>
      <c r="E755" s="68" t="s">
        <v>38</v>
      </c>
      <c r="F755" s="69">
        <v>46041.501388888886</v>
      </c>
      <c r="G755" s="68">
        <v>2276</v>
      </c>
      <c r="H755" s="68" t="s">
        <v>14</v>
      </c>
      <c r="I755" s="79">
        <v>46045.3828125</v>
      </c>
      <c r="J755" s="68">
        <v>1949</v>
      </c>
      <c r="K755" s="81" t="str">
        <f t="shared" si="27"/>
        <v>OUI</v>
      </c>
      <c r="L755" s="68" t="s">
        <v>16</v>
      </c>
      <c r="M755" s="71" t="s">
        <v>1851</v>
      </c>
      <c r="O755" s="16" t="str">
        <f t="shared" si="28"/>
        <v>OUI</v>
      </c>
    </row>
    <row r="756" spans="1:15" ht="15" customHeight="1" x14ac:dyDescent="0.3">
      <c r="A756" s="67" t="s">
        <v>34</v>
      </c>
      <c r="B756" s="91" t="s">
        <v>1776</v>
      </c>
      <c r="C756" s="68" t="s">
        <v>26</v>
      </c>
      <c r="D756" s="68" t="s">
        <v>1852</v>
      </c>
      <c r="E756" s="68" t="s">
        <v>38</v>
      </c>
      <c r="F756" s="69">
        <v>46041.50277777778</v>
      </c>
      <c r="G756" s="68">
        <v>2278</v>
      </c>
      <c r="H756" s="68" t="s">
        <v>14</v>
      </c>
      <c r="I756" s="79">
        <v>46045.382476851853</v>
      </c>
      <c r="J756" s="68">
        <v>1950</v>
      </c>
      <c r="K756" s="81" t="str">
        <f t="shared" si="27"/>
        <v>OUI</v>
      </c>
      <c r="L756" s="68" t="s">
        <v>16</v>
      </c>
      <c r="M756" s="71" t="s">
        <v>1853</v>
      </c>
      <c r="O756" s="16" t="str">
        <f t="shared" si="28"/>
        <v>OUI</v>
      </c>
    </row>
    <row r="757" spans="1:15" ht="15" customHeight="1" x14ac:dyDescent="0.3">
      <c r="A757" s="67" t="s">
        <v>34</v>
      </c>
      <c r="B757" s="91" t="s">
        <v>1776</v>
      </c>
      <c r="C757" s="68" t="s">
        <v>26</v>
      </c>
      <c r="D757" s="68" t="s">
        <v>1854</v>
      </c>
      <c r="E757" s="68" t="s">
        <v>38</v>
      </c>
      <c r="F757" s="69">
        <v>46041.509722222225</v>
      </c>
      <c r="G757" s="68">
        <v>2280</v>
      </c>
      <c r="H757" s="68" t="s">
        <v>14</v>
      </c>
      <c r="I757" s="79">
        <v>46045.382199074076</v>
      </c>
      <c r="J757" s="68">
        <v>1951</v>
      </c>
      <c r="K757" s="81" t="str">
        <f t="shared" ref="K757:K820" si="29">IF(AND(NOT(ISBLANK(I757)), NOT(ISBLANK(M757))), "OUI", "")</f>
        <v>OUI</v>
      </c>
      <c r="L757" s="68" t="s">
        <v>16</v>
      </c>
      <c r="M757" s="71" t="s">
        <v>1855</v>
      </c>
      <c r="O757" s="16" t="str">
        <f t="shared" si="28"/>
        <v>OUI</v>
      </c>
    </row>
    <row r="758" spans="1:15" ht="15" customHeight="1" x14ac:dyDescent="0.3">
      <c r="A758" s="67" t="s">
        <v>34</v>
      </c>
      <c r="B758" s="91" t="s">
        <v>1776</v>
      </c>
      <c r="C758" s="68" t="s">
        <v>26</v>
      </c>
      <c r="D758" s="68" t="s">
        <v>1856</v>
      </c>
      <c r="E758" s="68" t="s">
        <v>38</v>
      </c>
      <c r="F758" s="69">
        <v>46041.512499999997</v>
      </c>
      <c r="G758" s="68">
        <v>2282</v>
      </c>
      <c r="H758" s="68" t="s">
        <v>14</v>
      </c>
      <c r="I758" s="79">
        <v>46045.381874999999</v>
      </c>
      <c r="J758" s="68">
        <v>1952</v>
      </c>
      <c r="K758" s="81" t="str">
        <f t="shared" si="29"/>
        <v>OUI</v>
      </c>
      <c r="L758" s="68" t="s">
        <v>16</v>
      </c>
      <c r="M758" s="71" t="s">
        <v>1857</v>
      </c>
      <c r="O758" s="16" t="str">
        <f t="shared" si="28"/>
        <v>OUI</v>
      </c>
    </row>
    <row r="759" spans="1:15" ht="15" customHeight="1" x14ac:dyDescent="0.3">
      <c r="A759" s="67" t="s">
        <v>34</v>
      </c>
      <c r="B759" s="91" t="s">
        <v>1776</v>
      </c>
      <c r="C759" s="68" t="s">
        <v>26</v>
      </c>
      <c r="D759" s="68" t="s">
        <v>1858</v>
      </c>
      <c r="E759" s="68" t="s">
        <v>38</v>
      </c>
      <c r="F759" s="69">
        <v>46041.518055555556</v>
      </c>
      <c r="G759" s="68">
        <v>2284</v>
      </c>
      <c r="H759" s="68" t="s">
        <v>14</v>
      </c>
      <c r="I759" s="79">
        <v>46045.381562499999</v>
      </c>
      <c r="J759" s="68">
        <v>1953</v>
      </c>
      <c r="K759" s="81" t="str">
        <f t="shared" si="29"/>
        <v>OUI</v>
      </c>
      <c r="L759" s="68" t="s">
        <v>16</v>
      </c>
      <c r="M759" s="71" t="s">
        <v>1859</v>
      </c>
      <c r="O759" s="16" t="str">
        <f t="shared" si="28"/>
        <v>OUI</v>
      </c>
    </row>
    <row r="760" spans="1:15" ht="15" customHeight="1" x14ac:dyDescent="0.3">
      <c r="A760" s="67" t="s">
        <v>34</v>
      </c>
      <c r="B760" s="91" t="s">
        <v>1776</v>
      </c>
      <c r="C760" s="68" t="s">
        <v>26</v>
      </c>
      <c r="D760" s="68" t="s">
        <v>1860</v>
      </c>
      <c r="E760" s="68" t="s">
        <v>38</v>
      </c>
      <c r="F760" s="69">
        <v>46041.520833333336</v>
      </c>
      <c r="G760" s="68">
        <v>2286</v>
      </c>
      <c r="H760" s="68" t="s">
        <v>14</v>
      </c>
      <c r="I760" s="79">
        <v>46045.381284722222</v>
      </c>
      <c r="J760" s="68">
        <v>1954</v>
      </c>
      <c r="K760" s="81" t="str">
        <f t="shared" si="29"/>
        <v>OUI</v>
      </c>
      <c r="L760" s="68" t="s">
        <v>16</v>
      </c>
      <c r="M760" s="71" t="s">
        <v>1861</v>
      </c>
      <c r="O760" s="16" t="str">
        <f t="shared" si="28"/>
        <v>OUI</v>
      </c>
    </row>
    <row r="761" spans="1:15" ht="15" customHeight="1" x14ac:dyDescent="0.3">
      <c r="A761" s="67" t="s">
        <v>34</v>
      </c>
      <c r="B761" s="91" t="s">
        <v>1862</v>
      </c>
      <c r="C761" s="68" t="s">
        <v>1863</v>
      </c>
      <c r="D761" s="68" t="s">
        <v>1864</v>
      </c>
      <c r="E761" s="68" t="s">
        <v>38</v>
      </c>
      <c r="F761" s="69">
        <v>46042.296527777777</v>
      </c>
      <c r="G761" s="68">
        <v>2287</v>
      </c>
      <c r="H761" s="68" t="s">
        <v>24</v>
      </c>
      <c r="I761" s="70"/>
      <c r="J761" s="68">
        <v>1955</v>
      </c>
      <c r="K761" s="81" t="str">
        <f t="shared" si="29"/>
        <v/>
      </c>
      <c r="L761" s="68" t="s">
        <v>16</v>
      </c>
      <c r="M761" s="71"/>
      <c r="O761" s="16" t="str">
        <f t="shared" si="28"/>
        <v/>
      </c>
    </row>
    <row r="762" spans="1:15" ht="15" customHeight="1" x14ac:dyDescent="0.3">
      <c r="A762" s="67" t="s">
        <v>262</v>
      </c>
      <c r="B762" s="10" t="s">
        <v>1865</v>
      </c>
      <c r="C762" s="68" t="s">
        <v>88</v>
      </c>
      <c r="D762" s="68" t="s">
        <v>1866</v>
      </c>
      <c r="E762" s="68" t="s">
        <v>266</v>
      </c>
      <c r="F762" s="69">
        <v>46042.297222222223</v>
      </c>
      <c r="G762" s="68">
        <v>2289</v>
      </c>
      <c r="H762" s="68" t="s">
        <v>14</v>
      </c>
      <c r="I762" s="70"/>
      <c r="J762" s="68">
        <v>1956</v>
      </c>
      <c r="K762" s="81" t="str">
        <f t="shared" si="29"/>
        <v/>
      </c>
      <c r="L762" s="68" t="s">
        <v>16</v>
      </c>
      <c r="M762" s="71"/>
      <c r="O762" s="16" t="str">
        <f t="shared" si="28"/>
        <v/>
      </c>
    </row>
    <row r="763" spans="1:15" ht="15" customHeight="1" x14ac:dyDescent="0.3">
      <c r="A763" s="67" t="s">
        <v>34</v>
      </c>
      <c r="B763" s="91" t="s">
        <v>1862</v>
      </c>
      <c r="C763" s="68" t="s">
        <v>1863</v>
      </c>
      <c r="D763" s="68" t="s">
        <v>1864</v>
      </c>
      <c r="E763" s="68" t="s">
        <v>38</v>
      </c>
      <c r="F763" s="69">
        <v>46042.305555555555</v>
      </c>
      <c r="G763" s="68">
        <v>2291</v>
      </c>
      <c r="H763" s="68" t="s">
        <v>14</v>
      </c>
      <c r="I763" s="70"/>
      <c r="J763" s="68">
        <v>1957</v>
      </c>
      <c r="K763" s="81" t="str">
        <f t="shared" si="29"/>
        <v/>
      </c>
      <c r="L763" s="68" t="s">
        <v>16</v>
      </c>
      <c r="M763" s="71"/>
      <c r="O763" s="16" t="str">
        <f t="shared" si="28"/>
        <v/>
      </c>
    </row>
    <row r="764" spans="1:15" ht="15" customHeight="1" x14ac:dyDescent="0.3">
      <c r="A764" s="67" t="s">
        <v>34</v>
      </c>
      <c r="B764" s="91" t="s">
        <v>1862</v>
      </c>
      <c r="C764" s="68" t="s">
        <v>1863</v>
      </c>
      <c r="D764" s="68" t="s">
        <v>1864</v>
      </c>
      <c r="E764" s="68" t="s">
        <v>38</v>
      </c>
      <c r="F764" s="69">
        <v>46042.32916666667</v>
      </c>
      <c r="G764" s="68">
        <v>2292</v>
      </c>
      <c r="H764" s="68" t="s">
        <v>24</v>
      </c>
      <c r="I764" s="70"/>
      <c r="J764" s="68">
        <v>1958</v>
      </c>
      <c r="K764" s="81" t="str">
        <f t="shared" si="29"/>
        <v/>
      </c>
      <c r="L764" s="68" t="s">
        <v>16</v>
      </c>
      <c r="M764" s="71"/>
      <c r="O764" s="16" t="str">
        <f t="shared" si="28"/>
        <v/>
      </c>
    </row>
    <row r="765" spans="1:15" ht="15" customHeight="1" x14ac:dyDescent="0.3">
      <c r="A765" s="67" t="s">
        <v>34</v>
      </c>
      <c r="B765" s="91" t="s">
        <v>1862</v>
      </c>
      <c r="C765" s="68" t="s">
        <v>1863</v>
      </c>
      <c r="D765" s="68" t="s">
        <v>1864</v>
      </c>
      <c r="E765" s="68" t="s">
        <v>38</v>
      </c>
      <c r="F765" s="69">
        <v>46042.330555555556</v>
      </c>
      <c r="G765" s="68">
        <v>1959</v>
      </c>
      <c r="H765" s="68" t="s">
        <v>24</v>
      </c>
      <c r="I765" s="79">
        <v>46042.338888888888</v>
      </c>
      <c r="J765" s="68">
        <v>1959</v>
      </c>
      <c r="K765" s="81" t="str">
        <f t="shared" si="29"/>
        <v>OUI</v>
      </c>
      <c r="L765" s="68" t="s">
        <v>16</v>
      </c>
      <c r="M765" s="71" t="s">
        <v>1867</v>
      </c>
      <c r="N765" s="38">
        <v>46043</v>
      </c>
      <c r="O765" s="16" t="str">
        <f t="shared" si="28"/>
        <v>OUI</v>
      </c>
    </row>
    <row r="766" spans="1:15" ht="15" customHeight="1" x14ac:dyDescent="0.3">
      <c r="A766" s="67" t="s">
        <v>34</v>
      </c>
      <c r="B766" s="91" t="s">
        <v>1868</v>
      </c>
      <c r="C766" s="68" t="s">
        <v>26</v>
      </c>
      <c r="D766" s="68" t="s">
        <v>1869</v>
      </c>
      <c r="E766" s="68" t="s">
        <v>38</v>
      </c>
      <c r="F766" s="69">
        <v>46042.39166666667</v>
      </c>
      <c r="G766" s="68">
        <v>2294</v>
      </c>
      <c r="H766" s="68" t="s">
        <v>14</v>
      </c>
      <c r="I766" s="79">
        <v>46045.380949074075</v>
      </c>
      <c r="J766" s="68">
        <v>1960</v>
      </c>
      <c r="K766" s="81" t="str">
        <f t="shared" si="29"/>
        <v>OUI</v>
      </c>
      <c r="L766" s="68" t="s">
        <v>16</v>
      </c>
      <c r="M766" s="71" t="s">
        <v>1870</v>
      </c>
      <c r="O766" s="16" t="str">
        <f t="shared" si="28"/>
        <v>OUI</v>
      </c>
    </row>
    <row r="767" spans="1:15" ht="15" customHeight="1" x14ac:dyDescent="0.3">
      <c r="A767" s="67" t="s">
        <v>34</v>
      </c>
      <c r="B767" s="91" t="s">
        <v>886</v>
      </c>
      <c r="C767" s="68" t="s">
        <v>26</v>
      </c>
      <c r="D767" s="68" t="s">
        <v>1519</v>
      </c>
      <c r="E767" s="68" t="s">
        <v>38</v>
      </c>
      <c r="F767" s="69">
        <v>46042.413194444445</v>
      </c>
      <c r="G767" s="68">
        <v>2295</v>
      </c>
      <c r="H767" s="68" t="s">
        <v>24</v>
      </c>
      <c r="I767" s="70"/>
      <c r="J767" s="68">
        <v>1961</v>
      </c>
      <c r="K767" s="81" t="str">
        <f t="shared" si="29"/>
        <v/>
      </c>
      <c r="L767" s="68" t="s">
        <v>165</v>
      </c>
      <c r="M767" s="71"/>
      <c r="O767" s="16" t="str">
        <f t="shared" si="28"/>
        <v/>
      </c>
    </row>
    <row r="768" spans="1:15" ht="15" customHeight="1" x14ac:dyDescent="0.3">
      <c r="A768" s="67" t="s">
        <v>34</v>
      </c>
      <c r="B768" s="91" t="s">
        <v>1868</v>
      </c>
      <c r="C768" s="68" t="s">
        <v>26</v>
      </c>
      <c r="D768" s="68" t="s">
        <v>1871</v>
      </c>
      <c r="E768" s="68" t="s">
        <v>38</v>
      </c>
      <c r="F768" s="69">
        <v>46042.572916666664</v>
      </c>
      <c r="G768" s="68">
        <v>2297</v>
      </c>
      <c r="H768" s="68" t="s">
        <v>14</v>
      </c>
      <c r="I768" s="79">
        <v>46045.380671296298</v>
      </c>
      <c r="J768" s="68">
        <v>1962</v>
      </c>
      <c r="K768" s="81" t="str">
        <f t="shared" si="29"/>
        <v>OUI</v>
      </c>
      <c r="L768" s="68" t="s">
        <v>16</v>
      </c>
      <c r="M768" s="71" t="s">
        <v>1872</v>
      </c>
      <c r="O768" s="16" t="str">
        <f t="shared" si="28"/>
        <v>OUI</v>
      </c>
    </row>
    <row r="769" spans="1:15" ht="15" customHeight="1" x14ac:dyDescent="0.3">
      <c r="A769" s="67" t="s">
        <v>34</v>
      </c>
      <c r="B769" s="91" t="s">
        <v>1868</v>
      </c>
      <c r="C769" s="68" t="s">
        <v>26</v>
      </c>
      <c r="D769" s="68" t="s">
        <v>1873</v>
      </c>
      <c r="E769" s="68" t="s">
        <v>38</v>
      </c>
      <c r="F769" s="69">
        <v>46042.575694444444</v>
      </c>
      <c r="G769" s="68">
        <v>2299</v>
      </c>
      <c r="H769" s="68" t="s">
        <v>14</v>
      </c>
      <c r="I769" s="79">
        <v>46045.38040509259</v>
      </c>
      <c r="J769" s="68">
        <v>1963</v>
      </c>
      <c r="K769" s="81" t="str">
        <f t="shared" si="29"/>
        <v>OUI</v>
      </c>
      <c r="L769" s="68" t="s">
        <v>16</v>
      </c>
      <c r="M769" s="71" t="s">
        <v>1874</v>
      </c>
      <c r="O769" s="16" t="str">
        <f t="shared" si="28"/>
        <v>OUI</v>
      </c>
    </row>
    <row r="770" spans="1:15" ht="15" customHeight="1" x14ac:dyDescent="0.3">
      <c r="A770" s="67" t="s">
        <v>34</v>
      </c>
      <c r="B770" s="91" t="s">
        <v>1868</v>
      </c>
      <c r="C770" s="68" t="s">
        <v>26</v>
      </c>
      <c r="D770" s="68" t="s">
        <v>1875</v>
      </c>
      <c r="E770" s="68" t="s">
        <v>38</v>
      </c>
      <c r="F770" s="69">
        <v>46042.57708333333</v>
      </c>
      <c r="G770" s="68">
        <v>2301</v>
      </c>
      <c r="H770" s="68" t="s">
        <v>14</v>
      </c>
      <c r="I770" s="79">
        <v>46045.380127314813</v>
      </c>
      <c r="J770" s="68">
        <v>1964</v>
      </c>
      <c r="K770" s="81" t="str">
        <f t="shared" si="29"/>
        <v>OUI</v>
      </c>
      <c r="L770" s="68" t="s">
        <v>16</v>
      </c>
      <c r="M770" s="71" t="s">
        <v>1876</v>
      </c>
      <c r="O770" s="16" t="str">
        <f t="shared" si="28"/>
        <v>OUI</v>
      </c>
    </row>
    <row r="771" spans="1:15" ht="15" customHeight="1" x14ac:dyDescent="0.3">
      <c r="A771" s="67" t="s">
        <v>34</v>
      </c>
      <c r="B771" s="91" t="s">
        <v>1868</v>
      </c>
      <c r="C771" s="68" t="s">
        <v>26</v>
      </c>
      <c r="D771" s="68" t="s">
        <v>1877</v>
      </c>
      <c r="E771" s="68" t="s">
        <v>38</v>
      </c>
      <c r="F771" s="69">
        <v>46042.589583333334</v>
      </c>
      <c r="G771" s="68">
        <v>2303</v>
      </c>
      <c r="H771" s="68" t="s">
        <v>14</v>
      </c>
      <c r="I771" s="79">
        <v>46045.379837962966</v>
      </c>
      <c r="J771" s="68">
        <v>1965</v>
      </c>
      <c r="K771" s="81" t="str">
        <f t="shared" si="29"/>
        <v>OUI</v>
      </c>
      <c r="L771" s="68" t="s">
        <v>16</v>
      </c>
      <c r="M771" s="71" t="s">
        <v>1878</v>
      </c>
      <c r="O771" s="16" t="str">
        <f t="shared" si="28"/>
        <v>OUI</v>
      </c>
    </row>
    <row r="772" spans="1:15" ht="15" customHeight="1" x14ac:dyDescent="0.3">
      <c r="A772" s="67" t="s">
        <v>34</v>
      </c>
      <c r="B772" s="91" t="s">
        <v>1868</v>
      </c>
      <c r="C772" s="68" t="s">
        <v>26</v>
      </c>
      <c r="D772" s="68" t="s">
        <v>1879</v>
      </c>
      <c r="E772" s="68" t="s">
        <v>38</v>
      </c>
      <c r="F772" s="69">
        <v>46042.592361111114</v>
      </c>
      <c r="G772" s="68">
        <v>2305</v>
      </c>
      <c r="H772" s="68" t="s">
        <v>14</v>
      </c>
      <c r="I772" s="79">
        <v>46045.376747685186</v>
      </c>
      <c r="J772" s="68">
        <v>1966</v>
      </c>
      <c r="K772" s="81" t="str">
        <f t="shared" si="29"/>
        <v>OUI</v>
      </c>
      <c r="L772" s="68" t="s">
        <v>16</v>
      </c>
      <c r="M772" s="96" t="s">
        <v>1880</v>
      </c>
      <c r="O772" s="16" t="str">
        <f t="shared" si="28"/>
        <v>OUI</v>
      </c>
    </row>
    <row r="773" spans="1:15" ht="15" customHeight="1" x14ac:dyDescent="0.3">
      <c r="A773" s="67" t="s">
        <v>34</v>
      </c>
      <c r="B773" s="91" t="s">
        <v>1868</v>
      </c>
      <c r="C773" s="68" t="s">
        <v>26</v>
      </c>
      <c r="D773" s="68" t="s">
        <v>1881</v>
      </c>
      <c r="E773" s="68" t="s">
        <v>38</v>
      </c>
      <c r="F773" s="69">
        <v>46042.594444444447</v>
      </c>
      <c r="G773" s="68">
        <v>2307</v>
      </c>
      <c r="H773" s="68" t="s">
        <v>14</v>
      </c>
      <c r="I773" s="79">
        <v>46045.375879629632</v>
      </c>
      <c r="J773" s="68">
        <v>1967</v>
      </c>
      <c r="K773" s="81" t="str">
        <f t="shared" si="29"/>
        <v>OUI</v>
      </c>
      <c r="L773" s="68" t="s">
        <v>16</v>
      </c>
      <c r="M773" s="71" t="s">
        <v>1882</v>
      </c>
      <c r="O773" s="16" t="str">
        <f t="shared" si="28"/>
        <v>OUI</v>
      </c>
    </row>
    <row r="774" spans="1:15" ht="15" customHeight="1" x14ac:dyDescent="0.3">
      <c r="A774" s="67" t="s">
        <v>34</v>
      </c>
      <c r="B774" s="91" t="s">
        <v>1868</v>
      </c>
      <c r="C774" s="68" t="s">
        <v>26</v>
      </c>
      <c r="D774" s="68" t="s">
        <v>1883</v>
      </c>
      <c r="E774" s="68" t="s">
        <v>38</v>
      </c>
      <c r="F774" s="69">
        <v>46042.59652777778</v>
      </c>
      <c r="G774" s="68">
        <v>2309</v>
      </c>
      <c r="H774" s="68" t="s">
        <v>14</v>
      </c>
      <c r="I774" s="79">
        <v>46045.374918981484</v>
      </c>
      <c r="J774" s="68">
        <v>1968</v>
      </c>
      <c r="K774" s="81" t="str">
        <f t="shared" si="29"/>
        <v>OUI</v>
      </c>
      <c r="L774" s="68" t="s">
        <v>16</v>
      </c>
      <c r="M774" s="71" t="s">
        <v>1884</v>
      </c>
      <c r="O774" s="16" t="str">
        <f t="shared" si="28"/>
        <v>OUI</v>
      </c>
    </row>
    <row r="775" spans="1:15" ht="15" customHeight="1" x14ac:dyDescent="0.3">
      <c r="A775" s="67" t="s">
        <v>34</v>
      </c>
      <c r="B775" s="91" t="s">
        <v>1868</v>
      </c>
      <c r="C775" s="68" t="s">
        <v>26</v>
      </c>
      <c r="D775" s="68" t="s">
        <v>1885</v>
      </c>
      <c r="E775" s="68" t="s">
        <v>38</v>
      </c>
      <c r="F775" s="69">
        <v>46042.606249999997</v>
      </c>
      <c r="G775" s="68">
        <v>2311</v>
      </c>
      <c r="H775" s="68" t="s">
        <v>14</v>
      </c>
      <c r="I775" s="79">
        <v>46045.374571759261</v>
      </c>
      <c r="J775" s="68">
        <v>1969</v>
      </c>
      <c r="K775" s="81" t="str">
        <f t="shared" si="29"/>
        <v>OUI</v>
      </c>
      <c r="L775" s="68" t="s">
        <v>16</v>
      </c>
      <c r="M775" s="71" t="s">
        <v>1886</v>
      </c>
      <c r="O775" s="16" t="str">
        <f t="shared" si="28"/>
        <v>OUI</v>
      </c>
    </row>
    <row r="776" spans="1:15" ht="15" customHeight="1" x14ac:dyDescent="0.3">
      <c r="A776" s="67" t="s">
        <v>34</v>
      </c>
      <c r="B776" s="91" t="s">
        <v>1868</v>
      </c>
      <c r="C776" s="68" t="s">
        <v>26</v>
      </c>
      <c r="D776" s="68" t="s">
        <v>1887</v>
      </c>
      <c r="E776" s="68" t="s">
        <v>38</v>
      </c>
      <c r="F776" s="69">
        <v>46042.607638888891</v>
      </c>
      <c r="G776" s="68">
        <v>2313</v>
      </c>
      <c r="H776" s="68" t="s">
        <v>14</v>
      </c>
      <c r="I776" s="79">
        <v>46045.374050925922</v>
      </c>
      <c r="J776" s="68">
        <v>1970</v>
      </c>
      <c r="K776" s="81" t="str">
        <f t="shared" si="29"/>
        <v>OUI</v>
      </c>
      <c r="L776" s="68" t="s">
        <v>16</v>
      </c>
      <c r="M776" s="71" t="s">
        <v>1888</v>
      </c>
      <c r="O776" s="16" t="str">
        <f t="shared" si="28"/>
        <v>OUI</v>
      </c>
    </row>
    <row r="777" spans="1:15" ht="15" customHeight="1" x14ac:dyDescent="0.3">
      <c r="A777" s="67" t="s">
        <v>34</v>
      </c>
      <c r="B777" s="91" t="s">
        <v>1868</v>
      </c>
      <c r="C777" s="68" t="s">
        <v>26</v>
      </c>
      <c r="D777" s="68" t="s">
        <v>1889</v>
      </c>
      <c r="E777" s="68" t="s">
        <v>38</v>
      </c>
      <c r="F777" s="69">
        <v>46042.609722222223</v>
      </c>
      <c r="G777" s="68">
        <v>2315</v>
      </c>
      <c r="H777" s="68" t="s">
        <v>14</v>
      </c>
      <c r="I777" s="79">
        <v>46045.373773148145</v>
      </c>
      <c r="J777" s="68">
        <v>1971</v>
      </c>
      <c r="K777" s="81" t="str">
        <f t="shared" si="29"/>
        <v>OUI</v>
      </c>
      <c r="L777" s="68" t="s">
        <v>16</v>
      </c>
      <c r="M777" s="71" t="s">
        <v>1890</v>
      </c>
      <c r="O777" s="16" t="str">
        <f t="shared" si="28"/>
        <v>OUI</v>
      </c>
    </row>
    <row r="778" spans="1:15" ht="15" customHeight="1" x14ac:dyDescent="0.3">
      <c r="A778" s="67" t="s">
        <v>34</v>
      </c>
      <c r="B778" s="91" t="s">
        <v>1868</v>
      </c>
      <c r="C778" s="68" t="s">
        <v>26</v>
      </c>
      <c r="D778" s="68" t="s">
        <v>1891</v>
      </c>
      <c r="E778" s="68" t="s">
        <v>38</v>
      </c>
      <c r="F778" s="69">
        <v>46042.611805555556</v>
      </c>
      <c r="G778" s="68">
        <v>2317</v>
      </c>
      <c r="H778" s="68" t="s">
        <v>14</v>
      </c>
      <c r="I778" s="79">
        <v>46045.373506944445</v>
      </c>
      <c r="J778" s="68">
        <v>1972</v>
      </c>
      <c r="K778" s="81" t="str">
        <f t="shared" si="29"/>
        <v>OUI</v>
      </c>
      <c r="L778" s="68" t="s">
        <v>16</v>
      </c>
      <c r="M778" s="71" t="s">
        <v>1892</v>
      </c>
      <c r="O778" s="16" t="str">
        <f t="shared" si="28"/>
        <v>OUI</v>
      </c>
    </row>
    <row r="779" spans="1:15" ht="15" customHeight="1" x14ac:dyDescent="0.3">
      <c r="A779" s="67" t="s">
        <v>34</v>
      </c>
      <c r="B779" s="91" t="s">
        <v>1868</v>
      </c>
      <c r="C779" s="68" t="s">
        <v>26</v>
      </c>
      <c r="D779" s="68" t="s">
        <v>1893</v>
      </c>
      <c r="E779" s="68" t="s">
        <v>38</v>
      </c>
      <c r="F779" s="69">
        <v>46042.613194444442</v>
      </c>
      <c r="G779" s="68">
        <v>2319</v>
      </c>
      <c r="H779" s="68" t="s">
        <v>14</v>
      </c>
      <c r="I779" s="79">
        <v>46045.373217592591</v>
      </c>
      <c r="J779" s="68">
        <v>1973</v>
      </c>
      <c r="K779" s="81" t="str">
        <f t="shared" si="29"/>
        <v>OUI</v>
      </c>
      <c r="L779" s="68" t="s">
        <v>16</v>
      </c>
      <c r="M779" s="71" t="s">
        <v>1894</v>
      </c>
      <c r="O779" s="16" t="str">
        <f t="shared" si="28"/>
        <v>OUI</v>
      </c>
    </row>
    <row r="780" spans="1:15" ht="15" customHeight="1" x14ac:dyDescent="0.3">
      <c r="A780" s="67" t="s">
        <v>34</v>
      </c>
      <c r="B780" s="91" t="s">
        <v>1868</v>
      </c>
      <c r="C780" s="68" t="s">
        <v>26</v>
      </c>
      <c r="D780" s="68" t="s">
        <v>1895</v>
      </c>
      <c r="E780" s="68" t="s">
        <v>38</v>
      </c>
      <c r="F780" s="69">
        <v>46043.35</v>
      </c>
      <c r="G780" s="68">
        <v>2321</v>
      </c>
      <c r="H780" s="68" t="s">
        <v>14</v>
      </c>
      <c r="I780" s="79">
        <v>46045.372974537036</v>
      </c>
      <c r="J780" s="68">
        <v>1974</v>
      </c>
      <c r="K780" s="81" t="str">
        <f t="shared" si="29"/>
        <v>OUI</v>
      </c>
      <c r="L780" s="68" t="s">
        <v>16</v>
      </c>
      <c r="M780" s="71" t="s">
        <v>1896</v>
      </c>
      <c r="O780" s="16" t="str">
        <f t="shared" ref="O780:O817" si="30">IF(AND(ISBLANK(I780), ISBLANK(N780)), "", "OUI")</f>
        <v>OUI</v>
      </c>
    </row>
    <row r="781" spans="1:15" ht="15" customHeight="1" x14ac:dyDescent="0.3">
      <c r="A781" s="67" t="s">
        <v>34</v>
      </c>
      <c r="B781" s="91" t="s">
        <v>1868</v>
      </c>
      <c r="C781" s="68" t="s">
        <v>26</v>
      </c>
      <c r="D781" s="68" t="s">
        <v>1897</v>
      </c>
      <c r="E781" s="68" t="s">
        <v>38</v>
      </c>
      <c r="F781" s="69">
        <v>46043.352083333331</v>
      </c>
      <c r="G781" s="68">
        <v>2323</v>
      </c>
      <c r="H781" s="68" t="s">
        <v>14</v>
      </c>
      <c r="I781" s="79">
        <v>46045.37158564815</v>
      </c>
      <c r="J781" s="68">
        <v>1975</v>
      </c>
      <c r="K781" s="81" t="str">
        <f t="shared" si="29"/>
        <v>OUI</v>
      </c>
      <c r="L781" s="68" t="s">
        <v>16</v>
      </c>
      <c r="M781" s="71" t="s">
        <v>1898</v>
      </c>
      <c r="O781" s="16" t="str">
        <f t="shared" si="30"/>
        <v>OUI</v>
      </c>
    </row>
    <row r="782" spans="1:15" ht="15" customHeight="1" x14ac:dyDescent="0.3">
      <c r="A782" s="67" t="s">
        <v>34</v>
      </c>
      <c r="B782" s="91" t="s">
        <v>1868</v>
      </c>
      <c r="C782" s="68" t="s">
        <v>26</v>
      </c>
      <c r="D782" s="68" t="s">
        <v>1899</v>
      </c>
      <c r="E782" s="68" t="s">
        <v>38</v>
      </c>
      <c r="F782" s="69">
        <v>46043.354166666664</v>
      </c>
      <c r="G782" s="68">
        <v>2325</v>
      </c>
      <c r="H782" s="68" t="s">
        <v>14</v>
      </c>
      <c r="I782" s="79">
        <v>46045.370717592596</v>
      </c>
      <c r="J782" s="68">
        <v>1976</v>
      </c>
      <c r="K782" s="81" t="str">
        <f t="shared" si="29"/>
        <v>OUI</v>
      </c>
      <c r="L782" s="68" t="s">
        <v>16</v>
      </c>
      <c r="M782" s="71" t="s">
        <v>1900</v>
      </c>
      <c r="O782" s="16" t="str">
        <f t="shared" si="30"/>
        <v>OUI</v>
      </c>
    </row>
    <row r="783" spans="1:15" ht="15" customHeight="1" x14ac:dyDescent="0.3">
      <c r="A783" s="67" t="s">
        <v>34</v>
      </c>
      <c r="B783" s="91" t="s">
        <v>1868</v>
      </c>
      <c r="C783" s="68" t="s">
        <v>26</v>
      </c>
      <c r="D783" s="68" t="s">
        <v>1901</v>
      </c>
      <c r="E783" s="68" t="s">
        <v>38</v>
      </c>
      <c r="F783" s="69">
        <v>46043.356944444444</v>
      </c>
      <c r="G783" s="68">
        <v>2327</v>
      </c>
      <c r="H783" s="68" t="s">
        <v>14</v>
      </c>
      <c r="I783" s="79">
        <v>46045.370474537034</v>
      </c>
      <c r="J783" s="68">
        <v>1977</v>
      </c>
      <c r="K783" s="81" t="str">
        <f t="shared" si="29"/>
        <v>OUI</v>
      </c>
      <c r="L783" s="68" t="s">
        <v>16</v>
      </c>
      <c r="M783" s="71" t="s">
        <v>1902</v>
      </c>
      <c r="O783" s="16" t="str">
        <f t="shared" si="30"/>
        <v>OUI</v>
      </c>
    </row>
    <row r="784" spans="1:15" ht="15" customHeight="1" x14ac:dyDescent="0.3">
      <c r="A784" s="67" t="s">
        <v>34</v>
      </c>
      <c r="B784" s="91" t="s">
        <v>1868</v>
      </c>
      <c r="C784" s="68" t="s">
        <v>26</v>
      </c>
      <c r="D784" s="68" t="s">
        <v>1903</v>
      </c>
      <c r="E784" s="68" t="s">
        <v>38</v>
      </c>
      <c r="F784" s="69">
        <v>46043.397916666669</v>
      </c>
      <c r="G784" s="68">
        <v>2329</v>
      </c>
      <c r="H784" s="68" t="s">
        <v>14</v>
      </c>
      <c r="I784" s="79">
        <v>46045.37023148148</v>
      </c>
      <c r="J784" s="68">
        <v>1978</v>
      </c>
      <c r="K784" s="81" t="str">
        <f t="shared" si="29"/>
        <v>OUI</v>
      </c>
      <c r="L784" s="68" t="s">
        <v>16</v>
      </c>
      <c r="M784" s="71" t="s">
        <v>1904</v>
      </c>
      <c r="O784" s="16" t="str">
        <f t="shared" si="30"/>
        <v>OUI</v>
      </c>
    </row>
    <row r="785" spans="1:15" ht="15" customHeight="1" x14ac:dyDescent="0.3">
      <c r="A785" s="67" t="s">
        <v>34</v>
      </c>
      <c r="B785" s="91" t="s">
        <v>1868</v>
      </c>
      <c r="C785" s="68" t="s">
        <v>26</v>
      </c>
      <c r="D785" s="68" t="s">
        <v>1905</v>
      </c>
      <c r="E785" s="68" t="s">
        <v>38</v>
      </c>
      <c r="F785" s="69">
        <v>46043.401388888888</v>
      </c>
      <c r="G785" s="68">
        <v>2331</v>
      </c>
      <c r="H785" s="68" t="s">
        <v>14</v>
      </c>
      <c r="I785" s="79">
        <v>46045.369953703703</v>
      </c>
      <c r="J785" s="68">
        <v>1979</v>
      </c>
      <c r="K785" s="81" t="str">
        <f t="shared" si="29"/>
        <v>OUI</v>
      </c>
      <c r="L785" s="68" t="s">
        <v>16</v>
      </c>
      <c r="M785" s="71" t="s">
        <v>1906</v>
      </c>
      <c r="O785" s="16" t="str">
        <f t="shared" si="30"/>
        <v>OUI</v>
      </c>
    </row>
    <row r="786" spans="1:15" ht="15" customHeight="1" x14ac:dyDescent="0.3">
      <c r="A786" s="67" t="s">
        <v>34</v>
      </c>
      <c r="B786" s="91" t="s">
        <v>1868</v>
      </c>
      <c r="C786" s="68" t="s">
        <v>26</v>
      </c>
      <c r="D786" s="68" t="s">
        <v>1907</v>
      </c>
      <c r="E786" s="68" t="s">
        <v>38</v>
      </c>
      <c r="F786" s="69">
        <v>46043.429861111108</v>
      </c>
      <c r="G786" s="68">
        <v>2333</v>
      </c>
      <c r="H786" s="68" t="s">
        <v>14</v>
      </c>
      <c r="I786" s="79">
        <v>46045.369652777779</v>
      </c>
      <c r="J786" s="68">
        <v>1980</v>
      </c>
      <c r="K786" s="81" t="str">
        <f t="shared" si="29"/>
        <v>OUI</v>
      </c>
      <c r="L786" s="68" t="s">
        <v>16</v>
      </c>
      <c r="M786" s="71" t="s">
        <v>1908</v>
      </c>
      <c r="O786" s="16" t="str">
        <f t="shared" si="30"/>
        <v>OUI</v>
      </c>
    </row>
    <row r="787" spans="1:15" ht="15" customHeight="1" x14ac:dyDescent="0.3">
      <c r="A787" s="67" t="s">
        <v>34</v>
      </c>
      <c r="B787" s="91" t="s">
        <v>1909</v>
      </c>
      <c r="C787" s="68" t="s">
        <v>26</v>
      </c>
      <c r="D787" s="68" t="s">
        <v>1910</v>
      </c>
      <c r="E787" s="68" t="s">
        <v>38</v>
      </c>
      <c r="F787" s="69">
        <v>46043.431944444441</v>
      </c>
      <c r="G787" s="68">
        <v>2335</v>
      </c>
      <c r="H787" s="68" t="s">
        <v>14</v>
      </c>
      <c r="I787" s="79">
        <v>46045.369386574072</v>
      </c>
      <c r="J787" s="68">
        <v>1981</v>
      </c>
      <c r="K787" s="81" t="str">
        <f t="shared" si="29"/>
        <v>OUI</v>
      </c>
      <c r="L787" s="68" t="s">
        <v>16</v>
      </c>
      <c r="M787" s="71" t="s">
        <v>1911</v>
      </c>
      <c r="O787" s="16" t="str">
        <f t="shared" si="30"/>
        <v>OUI</v>
      </c>
    </row>
    <row r="788" spans="1:15" ht="15" customHeight="1" x14ac:dyDescent="0.3">
      <c r="A788" s="67" t="s">
        <v>34</v>
      </c>
      <c r="B788" s="91" t="s">
        <v>1912</v>
      </c>
      <c r="C788" s="68" t="s">
        <v>26</v>
      </c>
      <c r="D788" s="68" t="s">
        <v>1913</v>
      </c>
      <c r="E788" s="68" t="s">
        <v>38</v>
      </c>
      <c r="F788" s="69">
        <v>46043.447916666664</v>
      </c>
      <c r="G788" s="68">
        <v>2337</v>
      </c>
      <c r="H788" s="68" t="s">
        <v>14</v>
      </c>
      <c r="I788" s="79">
        <v>46045.369108796294</v>
      </c>
      <c r="J788" s="68">
        <v>1982</v>
      </c>
      <c r="K788" s="81" t="str">
        <f t="shared" si="29"/>
        <v>OUI</v>
      </c>
      <c r="L788" s="68" t="s">
        <v>16</v>
      </c>
      <c r="M788" s="71" t="s">
        <v>1914</v>
      </c>
      <c r="O788" s="16" t="str">
        <f t="shared" si="30"/>
        <v>OUI</v>
      </c>
    </row>
    <row r="789" spans="1:15" ht="15" customHeight="1" x14ac:dyDescent="0.3">
      <c r="A789" s="67" t="s">
        <v>34</v>
      </c>
      <c r="B789" s="91" t="s">
        <v>1909</v>
      </c>
      <c r="C789" s="68" t="s">
        <v>26</v>
      </c>
      <c r="D789" s="68" t="s">
        <v>1915</v>
      </c>
      <c r="E789" s="68" t="s">
        <v>38</v>
      </c>
      <c r="F789" s="69">
        <v>46043.457638888889</v>
      </c>
      <c r="G789" s="68">
        <v>2339</v>
      </c>
      <c r="H789" s="68" t="s">
        <v>14</v>
      </c>
      <c r="I789" s="79">
        <v>46045.368634259263</v>
      </c>
      <c r="J789" s="68">
        <v>1983</v>
      </c>
      <c r="K789" s="81" t="str">
        <f t="shared" si="29"/>
        <v>OUI</v>
      </c>
      <c r="L789" s="68" t="s">
        <v>16</v>
      </c>
      <c r="M789" s="71" t="s">
        <v>1916</v>
      </c>
      <c r="O789" s="16" t="str">
        <f t="shared" si="30"/>
        <v>OUI</v>
      </c>
    </row>
    <row r="790" spans="1:15" ht="15" customHeight="1" x14ac:dyDescent="0.3">
      <c r="A790" s="67" t="s">
        <v>34</v>
      </c>
      <c r="B790" s="91" t="s">
        <v>1917</v>
      </c>
      <c r="C790" s="68" t="s">
        <v>26</v>
      </c>
      <c r="D790" s="68" t="s">
        <v>1918</v>
      </c>
      <c r="E790" s="68" t="s">
        <v>38</v>
      </c>
      <c r="F790" s="69">
        <v>46043.461111111108</v>
      </c>
      <c r="G790" s="68">
        <v>2341</v>
      </c>
      <c r="H790" s="68" t="s">
        <v>14</v>
      </c>
      <c r="I790" s="79">
        <v>46045.368356481478</v>
      </c>
      <c r="J790" s="68">
        <v>1984</v>
      </c>
      <c r="K790" s="81" t="str">
        <f t="shared" si="29"/>
        <v>OUI</v>
      </c>
      <c r="L790" s="68" t="s">
        <v>16</v>
      </c>
      <c r="M790" s="71" t="s">
        <v>1919</v>
      </c>
      <c r="O790" s="16" t="str">
        <f t="shared" si="30"/>
        <v>OUI</v>
      </c>
    </row>
    <row r="791" spans="1:15" ht="15" customHeight="1" x14ac:dyDescent="0.3">
      <c r="A791" s="67" t="s">
        <v>34</v>
      </c>
      <c r="B791" s="91" t="s">
        <v>1909</v>
      </c>
      <c r="C791" s="68" t="s">
        <v>26</v>
      </c>
      <c r="D791" s="68" t="s">
        <v>1920</v>
      </c>
      <c r="E791" s="68" t="s">
        <v>38</v>
      </c>
      <c r="F791" s="69">
        <v>46043.463888888888</v>
      </c>
      <c r="G791" s="68">
        <v>2343</v>
      </c>
      <c r="H791" s="68" t="s">
        <v>14</v>
      </c>
      <c r="I791" s="79">
        <v>46045.368067129632</v>
      </c>
      <c r="J791" s="68">
        <v>1985</v>
      </c>
      <c r="K791" s="81" t="str">
        <f t="shared" si="29"/>
        <v>OUI</v>
      </c>
      <c r="L791" s="68" t="s">
        <v>16</v>
      </c>
      <c r="M791" s="71" t="s">
        <v>1921</v>
      </c>
      <c r="O791" s="16" t="str">
        <f t="shared" si="30"/>
        <v>OUI</v>
      </c>
    </row>
    <row r="792" spans="1:15" ht="15" customHeight="1" x14ac:dyDescent="0.3">
      <c r="A792" s="67" t="s">
        <v>34</v>
      </c>
      <c r="B792" s="91" t="s">
        <v>1909</v>
      </c>
      <c r="C792" s="68" t="s">
        <v>26</v>
      </c>
      <c r="D792" s="68" t="s">
        <v>1922</v>
      </c>
      <c r="E792" s="68" t="s">
        <v>38</v>
      </c>
      <c r="F792" s="69">
        <v>46043.46597222222</v>
      </c>
      <c r="G792" s="68">
        <v>2345</v>
      </c>
      <c r="H792" s="68" t="s">
        <v>14</v>
      </c>
      <c r="I792" s="79">
        <v>46045.367754629631</v>
      </c>
      <c r="J792" s="68">
        <v>1986</v>
      </c>
      <c r="K792" s="81" t="str">
        <f t="shared" si="29"/>
        <v>OUI</v>
      </c>
      <c r="L792" s="68" t="s">
        <v>16</v>
      </c>
      <c r="M792" s="71" t="s">
        <v>1923</v>
      </c>
      <c r="O792" s="16" t="str">
        <f t="shared" si="30"/>
        <v>OUI</v>
      </c>
    </row>
    <row r="793" spans="1:15" ht="15" customHeight="1" x14ac:dyDescent="0.3">
      <c r="A793" s="67" t="s">
        <v>34</v>
      </c>
      <c r="B793" s="91" t="s">
        <v>1909</v>
      </c>
      <c r="C793" s="68" t="s">
        <v>26</v>
      </c>
      <c r="D793" s="68" t="s">
        <v>1924</v>
      </c>
      <c r="E793" s="68" t="s">
        <v>38</v>
      </c>
      <c r="F793" s="69">
        <v>46043.46875</v>
      </c>
      <c r="G793" s="68">
        <v>2347</v>
      </c>
      <c r="H793" s="68" t="s">
        <v>14</v>
      </c>
      <c r="I793" s="79">
        <v>46045.3671412037</v>
      </c>
      <c r="J793" s="68">
        <v>1987</v>
      </c>
      <c r="K793" s="81" t="str">
        <f t="shared" si="29"/>
        <v>OUI</v>
      </c>
      <c r="L793" s="68" t="s">
        <v>16</v>
      </c>
      <c r="M793" s="71" t="s">
        <v>1925</v>
      </c>
      <c r="O793" s="16" t="str">
        <f t="shared" si="30"/>
        <v>OUI</v>
      </c>
    </row>
    <row r="794" spans="1:15" ht="15" customHeight="1" x14ac:dyDescent="0.3">
      <c r="A794" s="67" t="s">
        <v>34</v>
      </c>
      <c r="B794" s="91" t="s">
        <v>1909</v>
      </c>
      <c r="C794" s="68" t="s">
        <v>26</v>
      </c>
      <c r="D794" s="68" t="s">
        <v>1926</v>
      </c>
      <c r="E794" s="68" t="s">
        <v>38</v>
      </c>
      <c r="F794" s="69">
        <v>46043.472222222219</v>
      </c>
      <c r="G794" s="68">
        <v>2349</v>
      </c>
      <c r="H794" s="68" t="s">
        <v>14</v>
      </c>
      <c r="I794" s="79">
        <v>46045.366851851853</v>
      </c>
      <c r="J794" s="68">
        <v>1988</v>
      </c>
      <c r="K794" s="81" t="str">
        <f t="shared" si="29"/>
        <v>OUI</v>
      </c>
      <c r="L794" s="68" t="s">
        <v>16</v>
      </c>
      <c r="M794" s="71" t="s">
        <v>1927</v>
      </c>
      <c r="O794" s="16" t="str">
        <f t="shared" si="30"/>
        <v>OUI</v>
      </c>
    </row>
    <row r="795" spans="1:15" ht="15" customHeight="1" x14ac:dyDescent="0.3">
      <c r="A795" s="67" t="s">
        <v>34</v>
      </c>
      <c r="B795" s="91" t="s">
        <v>1909</v>
      </c>
      <c r="C795" s="68" t="s">
        <v>26</v>
      </c>
      <c r="D795" s="68" t="s">
        <v>1928</v>
      </c>
      <c r="E795" s="68" t="s">
        <v>38</v>
      </c>
      <c r="F795" s="69">
        <v>46043.475694444445</v>
      </c>
      <c r="G795" s="68">
        <v>2351</v>
      </c>
      <c r="H795" s="68" t="s">
        <v>14</v>
      </c>
      <c r="I795" s="79">
        <v>46045.366585648146</v>
      </c>
      <c r="J795" s="68">
        <v>1989</v>
      </c>
      <c r="K795" s="81" t="str">
        <f t="shared" si="29"/>
        <v>OUI</v>
      </c>
      <c r="L795" s="68" t="s">
        <v>16</v>
      </c>
      <c r="M795" s="71" t="s">
        <v>1929</v>
      </c>
      <c r="O795" s="16" t="str">
        <f t="shared" si="30"/>
        <v>OUI</v>
      </c>
    </row>
    <row r="796" spans="1:15" ht="15" customHeight="1" x14ac:dyDescent="0.3">
      <c r="A796" s="67" t="s">
        <v>34</v>
      </c>
      <c r="B796" s="91" t="s">
        <v>1930</v>
      </c>
      <c r="C796" s="68" t="s">
        <v>26</v>
      </c>
      <c r="D796" s="68" t="s">
        <v>1931</v>
      </c>
      <c r="E796" s="68" t="s">
        <v>38</v>
      </c>
      <c r="F796" s="69">
        <v>46043.477777777778</v>
      </c>
      <c r="G796" s="68">
        <v>2353</v>
      </c>
      <c r="H796" s="68" t="s">
        <v>14</v>
      </c>
      <c r="I796" s="79">
        <v>46045.361516203702</v>
      </c>
      <c r="J796" s="68">
        <v>1990</v>
      </c>
      <c r="K796" s="81" t="str">
        <f t="shared" si="29"/>
        <v>OUI</v>
      </c>
      <c r="L796" s="68" t="s">
        <v>16</v>
      </c>
      <c r="M796" s="71" t="s">
        <v>1932</v>
      </c>
      <c r="O796" s="16" t="str">
        <f t="shared" si="30"/>
        <v>OUI</v>
      </c>
    </row>
    <row r="797" spans="1:15" ht="15" customHeight="1" x14ac:dyDescent="0.3">
      <c r="A797" s="67" t="s">
        <v>34</v>
      </c>
      <c r="B797" s="91" t="s">
        <v>1912</v>
      </c>
      <c r="C797" s="68" t="s">
        <v>26</v>
      </c>
      <c r="D797" s="68" t="s">
        <v>1933</v>
      </c>
      <c r="E797" s="68" t="s">
        <v>38</v>
      </c>
      <c r="F797" s="69">
        <v>46043.480555555558</v>
      </c>
      <c r="G797" s="68">
        <v>2355</v>
      </c>
      <c r="H797" s="68" t="s">
        <v>14</v>
      </c>
      <c r="I797" s="79">
        <v>46045.361041666663</v>
      </c>
      <c r="J797" s="68">
        <v>1991</v>
      </c>
      <c r="K797" s="81" t="str">
        <f t="shared" si="29"/>
        <v>OUI</v>
      </c>
      <c r="L797" s="68" t="s">
        <v>16</v>
      </c>
      <c r="M797" s="71" t="s">
        <v>1934</v>
      </c>
      <c r="O797" s="16" t="str">
        <f t="shared" si="30"/>
        <v>OUI</v>
      </c>
    </row>
    <row r="798" spans="1:15" ht="15" customHeight="1" x14ac:dyDescent="0.3">
      <c r="A798" s="67" t="s">
        <v>34</v>
      </c>
      <c r="B798" s="91" t="s">
        <v>1909</v>
      </c>
      <c r="C798" s="68" t="s">
        <v>26</v>
      </c>
      <c r="D798" s="68" t="s">
        <v>1935</v>
      </c>
      <c r="E798" s="68" t="s">
        <v>38</v>
      </c>
      <c r="F798" s="69">
        <v>46043.486805555556</v>
      </c>
      <c r="G798" s="68">
        <v>2357</v>
      </c>
      <c r="H798" s="68" t="s">
        <v>14</v>
      </c>
      <c r="I798" s="79">
        <v>46045.360532407409</v>
      </c>
      <c r="J798" s="68">
        <v>1992</v>
      </c>
      <c r="K798" s="81" t="str">
        <f t="shared" si="29"/>
        <v>OUI</v>
      </c>
      <c r="L798" s="68" t="s">
        <v>16</v>
      </c>
      <c r="M798" s="71" t="s">
        <v>1936</v>
      </c>
      <c r="O798" s="16" t="str">
        <f t="shared" si="30"/>
        <v>OUI</v>
      </c>
    </row>
    <row r="799" spans="1:15" ht="15" customHeight="1" x14ac:dyDescent="0.3">
      <c r="A799" s="67" t="s">
        <v>34</v>
      </c>
      <c r="B799" s="91" t="s">
        <v>1912</v>
      </c>
      <c r="C799" s="68" t="s">
        <v>26</v>
      </c>
      <c r="D799" s="68" t="s">
        <v>1937</v>
      </c>
      <c r="E799" s="68" t="s">
        <v>38</v>
      </c>
      <c r="F799" s="69">
        <v>46043.489583333336</v>
      </c>
      <c r="G799" s="68">
        <v>2359</v>
      </c>
      <c r="H799" s="68" t="s">
        <v>14</v>
      </c>
      <c r="I799" s="79">
        <v>46044.718888888892</v>
      </c>
      <c r="J799" s="68">
        <v>1993</v>
      </c>
      <c r="K799" s="81" t="str">
        <f t="shared" si="29"/>
        <v>OUI</v>
      </c>
      <c r="L799" s="68" t="s">
        <v>16</v>
      </c>
      <c r="M799" s="71" t="s">
        <v>1938</v>
      </c>
      <c r="O799" s="16" t="str">
        <f t="shared" si="30"/>
        <v>OUI</v>
      </c>
    </row>
    <row r="800" spans="1:15" ht="15" customHeight="1" x14ac:dyDescent="0.3">
      <c r="A800" s="67" t="s">
        <v>34</v>
      </c>
      <c r="B800" s="91" t="s">
        <v>1909</v>
      </c>
      <c r="C800" s="68" t="s">
        <v>26</v>
      </c>
      <c r="D800" s="68" t="s">
        <v>1939</v>
      </c>
      <c r="E800" s="68" t="s">
        <v>38</v>
      </c>
      <c r="F800" s="69">
        <v>46043.491666666669</v>
      </c>
      <c r="G800" s="68">
        <v>2361</v>
      </c>
      <c r="H800" s="68" t="s">
        <v>14</v>
      </c>
      <c r="I800" s="79">
        <v>46044.717511574076</v>
      </c>
      <c r="J800" s="68">
        <v>1994</v>
      </c>
      <c r="K800" s="81" t="str">
        <f t="shared" si="29"/>
        <v>OUI</v>
      </c>
      <c r="L800" s="68" t="s">
        <v>16</v>
      </c>
      <c r="M800" s="71" t="s">
        <v>1940</v>
      </c>
      <c r="O800" s="16" t="str">
        <f t="shared" si="30"/>
        <v>OUI</v>
      </c>
    </row>
    <row r="801" spans="1:15" ht="15" customHeight="1" x14ac:dyDescent="0.3">
      <c r="A801" s="67" t="s">
        <v>34</v>
      </c>
      <c r="B801" s="91" t="s">
        <v>1909</v>
      </c>
      <c r="C801" s="68" t="s">
        <v>26</v>
      </c>
      <c r="D801" s="68" t="s">
        <v>1941</v>
      </c>
      <c r="E801" s="68" t="s">
        <v>38</v>
      </c>
      <c r="F801" s="69">
        <v>46043.494444444441</v>
      </c>
      <c r="G801" s="68">
        <v>2363</v>
      </c>
      <c r="H801" s="68" t="s">
        <v>14</v>
      </c>
      <c r="I801" s="79">
        <v>46044.715717592589</v>
      </c>
      <c r="J801" s="68">
        <v>1995</v>
      </c>
      <c r="K801" s="81" t="str">
        <f t="shared" si="29"/>
        <v>OUI</v>
      </c>
      <c r="L801" s="68" t="s">
        <v>16</v>
      </c>
      <c r="M801" s="71" t="s">
        <v>1942</v>
      </c>
      <c r="O801" s="16" t="str">
        <f t="shared" si="30"/>
        <v>OUI</v>
      </c>
    </row>
    <row r="802" spans="1:15" ht="15" customHeight="1" x14ac:dyDescent="0.3">
      <c r="A802" s="67" t="s">
        <v>34</v>
      </c>
      <c r="B802" s="91" t="s">
        <v>1909</v>
      </c>
      <c r="C802" s="68" t="s">
        <v>26</v>
      </c>
      <c r="D802" s="68" t="s">
        <v>1943</v>
      </c>
      <c r="E802" s="68" t="s">
        <v>38</v>
      </c>
      <c r="F802" s="69">
        <v>46043.496527777781</v>
      </c>
      <c r="G802" s="68">
        <v>2365</v>
      </c>
      <c r="H802" s="68" t="s">
        <v>14</v>
      </c>
      <c r="I802" s="79">
        <v>46044.714895833335</v>
      </c>
      <c r="J802" s="68">
        <v>1996</v>
      </c>
      <c r="K802" s="81" t="str">
        <f t="shared" si="29"/>
        <v>OUI</v>
      </c>
      <c r="L802" s="68" t="s">
        <v>16</v>
      </c>
      <c r="M802" s="71" t="s">
        <v>1944</v>
      </c>
      <c r="O802" s="16" t="str">
        <f t="shared" si="30"/>
        <v>OUI</v>
      </c>
    </row>
    <row r="803" spans="1:15" ht="15" customHeight="1" x14ac:dyDescent="0.3">
      <c r="A803" s="67" t="s">
        <v>34</v>
      </c>
      <c r="B803" s="91" t="s">
        <v>1776</v>
      </c>
      <c r="C803" s="68" t="s">
        <v>26</v>
      </c>
      <c r="D803" s="68" t="s">
        <v>1945</v>
      </c>
      <c r="E803" s="68" t="s">
        <v>38</v>
      </c>
      <c r="F803" s="69">
        <v>46043.499305555553</v>
      </c>
      <c r="G803" s="68">
        <v>2367</v>
      </c>
      <c r="H803" s="68" t="s">
        <v>14</v>
      </c>
      <c r="I803" s="79">
        <v>46044.714421296296</v>
      </c>
      <c r="J803" s="68">
        <v>1997</v>
      </c>
      <c r="K803" s="81" t="str">
        <f t="shared" si="29"/>
        <v>OUI</v>
      </c>
      <c r="L803" s="68" t="s">
        <v>16</v>
      </c>
      <c r="M803" s="71" t="s">
        <v>1946</v>
      </c>
      <c r="O803" s="16" t="str">
        <f t="shared" si="30"/>
        <v>OUI</v>
      </c>
    </row>
    <row r="804" spans="1:15" ht="15" customHeight="1" x14ac:dyDescent="0.3">
      <c r="A804" s="67" t="s">
        <v>34</v>
      </c>
      <c r="B804" s="91" t="s">
        <v>1776</v>
      </c>
      <c r="C804" s="68" t="s">
        <v>26</v>
      </c>
      <c r="D804" s="68" t="s">
        <v>1947</v>
      </c>
      <c r="E804" s="68" t="s">
        <v>38</v>
      </c>
      <c r="F804" s="69">
        <v>46043.504166666666</v>
      </c>
      <c r="G804" s="68">
        <v>2369</v>
      </c>
      <c r="H804" s="68" t="s">
        <v>14</v>
      </c>
      <c r="I804" s="79">
        <v>46044.70616898148</v>
      </c>
      <c r="J804" s="68">
        <v>1998</v>
      </c>
      <c r="K804" s="81" t="str">
        <f t="shared" si="29"/>
        <v>OUI</v>
      </c>
      <c r="L804" s="68" t="s">
        <v>16</v>
      </c>
      <c r="M804" s="71" t="s">
        <v>1948</v>
      </c>
      <c r="O804" s="16" t="str">
        <f t="shared" si="30"/>
        <v>OUI</v>
      </c>
    </row>
    <row r="805" spans="1:15" ht="15" customHeight="1" x14ac:dyDescent="0.3">
      <c r="A805" s="67" t="s">
        <v>34</v>
      </c>
      <c r="B805" s="91" t="s">
        <v>1949</v>
      </c>
      <c r="C805" s="68" t="s">
        <v>320</v>
      </c>
      <c r="D805" s="68" t="s">
        <v>1950</v>
      </c>
      <c r="E805" s="68" t="s">
        <v>38</v>
      </c>
      <c r="F805" s="69">
        <v>46043.506944444445</v>
      </c>
      <c r="G805" s="68">
        <v>2371</v>
      </c>
      <c r="H805" s="68" t="s">
        <v>14</v>
      </c>
      <c r="I805" s="79">
        <v>46044.705625000002</v>
      </c>
      <c r="J805" s="68">
        <v>1999</v>
      </c>
      <c r="K805" s="81" t="str">
        <f t="shared" si="29"/>
        <v>OUI</v>
      </c>
      <c r="L805" s="68" t="s">
        <v>16</v>
      </c>
      <c r="M805" s="71" t="s">
        <v>1951</v>
      </c>
      <c r="O805" s="16" t="str">
        <f t="shared" si="30"/>
        <v>OUI</v>
      </c>
    </row>
    <row r="806" spans="1:15" ht="15" customHeight="1" x14ac:dyDescent="0.3">
      <c r="A806" s="67" t="s">
        <v>34</v>
      </c>
      <c r="B806" s="91" t="s">
        <v>1776</v>
      </c>
      <c r="C806" s="68" t="s">
        <v>723</v>
      </c>
      <c r="D806" s="68" t="s">
        <v>1952</v>
      </c>
      <c r="E806" s="68" t="s">
        <v>38</v>
      </c>
      <c r="F806" s="69">
        <v>46043.509027777778</v>
      </c>
      <c r="G806" s="68">
        <v>2373</v>
      </c>
      <c r="H806" s="68" t="s">
        <v>14</v>
      </c>
      <c r="I806" s="79">
        <v>46044.704895833333</v>
      </c>
      <c r="J806" s="68">
        <v>2000</v>
      </c>
      <c r="K806" s="81" t="str">
        <f t="shared" si="29"/>
        <v>OUI</v>
      </c>
      <c r="L806" s="68" t="s">
        <v>16</v>
      </c>
      <c r="M806" s="71" t="s">
        <v>1953</v>
      </c>
      <c r="O806" s="16" t="str">
        <f t="shared" si="30"/>
        <v>OUI</v>
      </c>
    </row>
    <row r="807" spans="1:15" ht="15" customHeight="1" x14ac:dyDescent="0.3">
      <c r="A807" s="67" t="s">
        <v>34</v>
      </c>
      <c r="B807" s="91" t="s">
        <v>1954</v>
      </c>
      <c r="C807" s="68" t="s">
        <v>1437</v>
      </c>
      <c r="D807" s="68" t="s">
        <v>1955</v>
      </c>
      <c r="E807" s="68" t="s">
        <v>38</v>
      </c>
      <c r="F807" s="69">
        <v>46043.59097222222</v>
      </c>
      <c r="G807" s="68">
        <v>2375</v>
      </c>
      <c r="H807" s="68" t="s">
        <v>14</v>
      </c>
      <c r="I807" s="70"/>
      <c r="J807" s="68">
        <v>2001</v>
      </c>
      <c r="K807" s="81" t="str">
        <f t="shared" si="29"/>
        <v/>
      </c>
      <c r="L807" s="68" t="s">
        <v>16</v>
      </c>
      <c r="M807" s="71"/>
      <c r="O807" s="16" t="str">
        <f t="shared" si="30"/>
        <v/>
      </c>
    </row>
    <row r="808" spans="1:15" ht="15" customHeight="1" x14ac:dyDescent="0.3">
      <c r="A808" s="67" t="s">
        <v>34</v>
      </c>
      <c r="B808" s="91" t="s">
        <v>1954</v>
      </c>
      <c r="C808" s="68" t="s">
        <v>1437</v>
      </c>
      <c r="D808" s="68" t="s">
        <v>1956</v>
      </c>
      <c r="E808" s="68" t="s">
        <v>38</v>
      </c>
      <c r="F808" s="69">
        <v>46043.59375</v>
      </c>
      <c r="G808" s="68">
        <v>2377</v>
      </c>
      <c r="H808" s="68" t="s">
        <v>14</v>
      </c>
      <c r="I808" s="70"/>
      <c r="J808" s="68">
        <v>2002</v>
      </c>
      <c r="K808" s="81" t="str">
        <f t="shared" si="29"/>
        <v/>
      </c>
      <c r="L808" s="68" t="s">
        <v>16</v>
      </c>
      <c r="M808" s="71"/>
      <c r="O808" s="16" t="str">
        <f t="shared" si="30"/>
        <v/>
      </c>
    </row>
    <row r="809" spans="1:15" ht="15" customHeight="1" x14ac:dyDescent="0.3">
      <c r="A809" s="67" t="s">
        <v>34</v>
      </c>
      <c r="B809" s="91" t="s">
        <v>1954</v>
      </c>
      <c r="C809" s="68" t="s">
        <v>1437</v>
      </c>
      <c r="D809" s="68" t="s">
        <v>1957</v>
      </c>
      <c r="E809" s="68" t="s">
        <v>38</v>
      </c>
      <c r="F809" s="69">
        <v>46043.595833333333</v>
      </c>
      <c r="G809" s="68">
        <v>2379</v>
      </c>
      <c r="H809" s="68" t="s">
        <v>14</v>
      </c>
      <c r="I809" s="70"/>
      <c r="J809" s="68">
        <v>2003</v>
      </c>
      <c r="K809" s="81" t="str">
        <f t="shared" si="29"/>
        <v/>
      </c>
      <c r="L809" s="68" t="s">
        <v>16</v>
      </c>
      <c r="M809" s="71"/>
      <c r="O809" s="16" t="str">
        <f t="shared" si="30"/>
        <v/>
      </c>
    </row>
    <row r="810" spans="1:15" ht="15" customHeight="1" x14ac:dyDescent="0.3">
      <c r="A810" s="67" t="s">
        <v>34</v>
      </c>
      <c r="B810" s="91" t="s">
        <v>1954</v>
      </c>
      <c r="C810" s="68" t="s">
        <v>1437</v>
      </c>
      <c r="D810" s="68" t="s">
        <v>1958</v>
      </c>
      <c r="E810" s="68" t="s">
        <v>38</v>
      </c>
      <c r="F810" s="69">
        <v>46043.6</v>
      </c>
      <c r="G810" s="68">
        <v>2004</v>
      </c>
      <c r="H810" s="68" t="s">
        <v>24</v>
      </c>
      <c r="I810" s="79">
        <v>46043.605555555558</v>
      </c>
      <c r="J810" s="68">
        <v>2004</v>
      </c>
      <c r="K810" s="81" t="str">
        <f t="shared" si="29"/>
        <v>OUI</v>
      </c>
      <c r="L810" s="68" t="s">
        <v>16</v>
      </c>
      <c r="M810" s="71" t="s">
        <v>1959</v>
      </c>
      <c r="N810" s="38">
        <v>46043</v>
      </c>
      <c r="O810" s="16" t="str">
        <f t="shared" si="30"/>
        <v>OUI</v>
      </c>
    </row>
    <row r="811" spans="1:15" ht="15" customHeight="1" x14ac:dyDescent="0.3">
      <c r="A811" s="67" t="s">
        <v>34</v>
      </c>
      <c r="B811" s="91" t="s">
        <v>1954</v>
      </c>
      <c r="C811" s="68" t="s">
        <v>1437</v>
      </c>
      <c r="D811" s="68" t="s">
        <v>1960</v>
      </c>
      <c r="E811" s="68" t="s">
        <v>38</v>
      </c>
      <c r="F811" s="69">
        <v>46043.60833333333</v>
      </c>
      <c r="G811" s="68">
        <v>2005</v>
      </c>
      <c r="H811" s="68" t="s">
        <v>24</v>
      </c>
      <c r="I811" s="79">
        <v>46043.609027777777</v>
      </c>
      <c r="J811" s="68">
        <v>2005</v>
      </c>
      <c r="K811" s="81" t="str">
        <f t="shared" si="29"/>
        <v>OUI</v>
      </c>
      <c r="L811" s="68" t="s">
        <v>16</v>
      </c>
      <c r="M811" s="71" t="s">
        <v>1961</v>
      </c>
      <c r="N811" s="38">
        <v>46043</v>
      </c>
      <c r="O811" s="16" t="str">
        <f t="shared" si="30"/>
        <v>OUI</v>
      </c>
    </row>
    <row r="812" spans="1:15" ht="15" customHeight="1" x14ac:dyDescent="0.3">
      <c r="A812" s="67" t="s">
        <v>34</v>
      </c>
      <c r="B812" s="91" t="s">
        <v>1954</v>
      </c>
      <c r="C812" s="68" t="s">
        <v>1437</v>
      </c>
      <c r="D812" s="68" t="s">
        <v>1962</v>
      </c>
      <c r="E812" s="68" t="s">
        <v>38</v>
      </c>
      <c r="F812" s="69">
        <v>46043.611111111109</v>
      </c>
      <c r="G812" s="68">
        <v>2006</v>
      </c>
      <c r="H812" s="68" t="s">
        <v>24</v>
      </c>
      <c r="I812" s="79">
        <v>46043.613888888889</v>
      </c>
      <c r="J812" s="68">
        <v>2006</v>
      </c>
      <c r="K812" s="81" t="str">
        <f t="shared" si="29"/>
        <v>OUI</v>
      </c>
      <c r="L812" s="68" t="s">
        <v>16</v>
      </c>
      <c r="M812" s="71" t="s">
        <v>1963</v>
      </c>
      <c r="N812" s="38">
        <v>46043</v>
      </c>
      <c r="O812" s="16" t="str">
        <f t="shared" si="30"/>
        <v>OUI</v>
      </c>
    </row>
    <row r="813" spans="1:15" ht="15" customHeight="1" x14ac:dyDescent="0.3">
      <c r="A813" s="67" t="s">
        <v>17</v>
      </c>
      <c r="B813" s="10" t="s">
        <v>1964</v>
      </c>
      <c r="C813" s="68" t="s">
        <v>264</v>
      </c>
      <c r="D813" s="68" t="s">
        <v>1965</v>
      </c>
      <c r="E813" s="68" t="s">
        <v>19</v>
      </c>
      <c r="F813" s="69">
        <v>46043.75277777778</v>
      </c>
      <c r="G813" s="68">
        <v>2381</v>
      </c>
      <c r="H813" s="68" t="s">
        <v>14</v>
      </c>
      <c r="I813" s="70"/>
      <c r="J813" s="68">
        <v>2007</v>
      </c>
      <c r="K813" s="81" t="str">
        <f t="shared" si="29"/>
        <v/>
      </c>
      <c r="L813" s="68" t="s">
        <v>16</v>
      </c>
      <c r="M813" s="71"/>
      <c r="O813" s="16" t="str">
        <f t="shared" si="30"/>
        <v/>
      </c>
    </row>
    <row r="814" spans="1:15" ht="15" customHeight="1" x14ac:dyDescent="0.3">
      <c r="A814" s="72" t="s">
        <v>34</v>
      </c>
      <c r="B814" s="90" t="s">
        <v>1966</v>
      </c>
      <c r="C814" s="73" t="s">
        <v>88</v>
      </c>
      <c r="D814" s="73" t="s">
        <v>1967</v>
      </c>
      <c r="E814" s="73" t="s">
        <v>38</v>
      </c>
      <c r="F814" s="74">
        <v>46044.338888888888</v>
      </c>
      <c r="G814" s="73">
        <v>2383</v>
      </c>
      <c r="H814" s="73" t="s">
        <v>14</v>
      </c>
      <c r="I814" s="75"/>
      <c r="J814" s="73">
        <v>2008</v>
      </c>
      <c r="K814" s="81" t="str">
        <f t="shared" si="29"/>
        <v/>
      </c>
      <c r="L814" s="73" t="s">
        <v>16</v>
      </c>
      <c r="M814" s="76"/>
      <c r="O814" s="16" t="str">
        <f t="shared" si="30"/>
        <v/>
      </c>
    </row>
    <row r="815" spans="1:15" ht="15" customHeight="1" x14ac:dyDescent="0.3">
      <c r="A815" s="67" t="s">
        <v>34</v>
      </c>
      <c r="B815" s="91" t="s">
        <v>1968</v>
      </c>
      <c r="C815" s="68" t="s">
        <v>156</v>
      </c>
      <c r="D815" s="68" t="s">
        <v>1969</v>
      </c>
      <c r="E815" s="68" t="s">
        <v>38</v>
      </c>
      <c r="F815" s="69">
        <v>46045.536805555559</v>
      </c>
      <c r="G815" s="68">
        <v>2009</v>
      </c>
      <c r="H815" s="68" t="s">
        <v>24</v>
      </c>
      <c r="I815" s="79">
        <v>46045.538888888892</v>
      </c>
      <c r="J815" s="68">
        <v>2009</v>
      </c>
      <c r="K815" s="81" t="str">
        <f t="shared" si="29"/>
        <v>OUI</v>
      </c>
      <c r="L815" s="68" t="s">
        <v>16</v>
      </c>
      <c r="M815" s="71" t="s">
        <v>1970</v>
      </c>
      <c r="N815" s="38">
        <v>46045</v>
      </c>
      <c r="O815" s="16" t="str">
        <f t="shared" si="30"/>
        <v>OUI</v>
      </c>
    </row>
    <row r="816" spans="1:15" ht="15" customHeight="1" x14ac:dyDescent="0.3">
      <c r="A816" s="67" t="s">
        <v>34</v>
      </c>
      <c r="B816" s="91" t="s">
        <v>1971</v>
      </c>
      <c r="C816" s="68" t="s">
        <v>40</v>
      </c>
      <c r="D816" s="68" t="s">
        <v>1972</v>
      </c>
      <c r="E816" s="68" t="s">
        <v>38</v>
      </c>
      <c r="F816" s="69">
        <v>46045.802777777775</v>
      </c>
      <c r="G816" s="68">
        <v>2385</v>
      </c>
      <c r="H816" s="68" t="s">
        <v>14</v>
      </c>
      <c r="I816" s="70"/>
      <c r="J816" s="68">
        <v>2010</v>
      </c>
      <c r="K816" s="81" t="str">
        <f t="shared" si="29"/>
        <v/>
      </c>
      <c r="L816" s="68" t="s">
        <v>16</v>
      </c>
      <c r="M816" s="71"/>
      <c r="O816" s="16" t="str">
        <f t="shared" si="30"/>
        <v/>
      </c>
    </row>
    <row r="817" spans="1:15" ht="15" customHeight="1" x14ac:dyDescent="0.3">
      <c r="A817" s="72" t="s">
        <v>17</v>
      </c>
      <c r="B817" s="10" t="s">
        <v>1973</v>
      </c>
      <c r="C817" s="73" t="s">
        <v>88</v>
      </c>
      <c r="D817" s="73" t="s">
        <v>1974</v>
      </c>
      <c r="E817" s="73" t="s">
        <v>19</v>
      </c>
      <c r="F817" s="74">
        <v>46048.50277777778</v>
      </c>
      <c r="G817" s="73">
        <v>2387</v>
      </c>
      <c r="H817" s="73" t="s">
        <v>14</v>
      </c>
      <c r="I817" s="75"/>
      <c r="J817" s="73">
        <v>2011</v>
      </c>
      <c r="K817" s="81" t="str">
        <f t="shared" si="29"/>
        <v/>
      </c>
      <c r="L817" s="73" t="s">
        <v>16</v>
      </c>
      <c r="M817" s="76"/>
      <c r="O817" s="16" t="str">
        <f t="shared" si="30"/>
        <v/>
      </c>
    </row>
    <row r="818" spans="1:15" ht="15" customHeight="1" x14ac:dyDescent="0.3">
      <c r="A818" s="67" t="s">
        <v>150</v>
      </c>
      <c r="B818" s="91" t="s">
        <v>1975</v>
      </c>
      <c r="C818" s="68" t="s">
        <v>26</v>
      </c>
      <c r="D818" s="68" t="s">
        <v>1976</v>
      </c>
      <c r="E818" s="68" t="s">
        <v>33</v>
      </c>
      <c r="F818" s="69">
        <v>46049.6875</v>
      </c>
      <c r="G818" s="68">
        <v>2012</v>
      </c>
      <c r="H818" s="68" t="s">
        <v>24</v>
      </c>
      <c r="I818" s="79">
        <v>46049.692361111112</v>
      </c>
      <c r="J818" s="68">
        <v>2012</v>
      </c>
      <c r="K818" s="81" t="str">
        <f t="shared" si="29"/>
        <v>OUI</v>
      </c>
      <c r="L818" s="68" t="s">
        <v>16</v>
      </c>
      <c r="M818" s="71" t="s">
        <v>1977</v>
      </c>
      <c r="N818" s="38">
        <v>46049</v>
      </c>
      <c r="O818" s="16" t="str">
        <f t="shared" ref="O818:O820" si="31">IF(AND(ISBLANK(I818), ISBLANK(N818)), "", "OUI")</f>
        <v>OUI</v>
      </c>
    </row>
    <row r="819" spans="1:15" ht="15" customHeight="1" x14ac:dyDescent="0.3">
      <c r="A819" s="67" t="s">
        <v>34</v>
      </c>
      <c r="B819" s="91" t="s">
        <v>1978</v>
      </c>
      <c r="C819" s="68" t="s">
        <v>597</v>
      </c>
      <c r="D819" s="68" t="s">
        <v>1979</v>
      </c>
      <c r="E819" s="68" t="s">
        <v>38</v>
      </c>
      <c r="F819" s="69">
        <v>46052.742361111108</v>
      </c>
      <c r="G819" s="68">
        <v>2389</v>
      </c>
      <c r="H819" s="68" t="s">
        <v>14</v>
      </c>
      <c r="I819" s="70"/>
      <c r="J819" s="68">
        <v>2013</v>
      </c>
      <c r="K819" s="81" t="str">
        <f t="shared" si="29"/>
        <v/>
      </c>
      <c r="L819" s="68" t="s">
        <v>16</v>
      </c>
      <c r="M819" s="71"/>
      <c r="O819" s="16" t="str">
        <f t="shared" si="31"/>
        <v/>
      </c>
    </row>
    <row r="820" spans="1:15" ht="15" customHeight="1" x14ac:dyDescent="0.3">
      <c r="A820" s="72" t="s">
        <v>17</v>
      </c>
      <c r="B820" s="10" t="s">
        <v>1980</v>
      </c>
      <c r="C820" s="1" t="s">
        <v>36</v>
      </c>
      <c r="D820" s="73" t="s">
        <v>1981</v>
      </c>
      <c r="E820" s="73" t="s">
        <v>19</v>
      </c>
      <c r="F820" s="74">
        <v>46052.772916666669</v>
      </c>
      <c r="G820" s="73">
        <v>2391</v>
      </c>
      <c r="H820" s="73" t="s">
        <v>14</v>
      </c>
      <c r="I820" s="75"/>
      <c r="J820" s="73">
        <v>2014</v>
      </c>
      <c r="K820" s="81" t="str">
        <f t="shared" si="29"/>
        <v/>
      </c>
      <c r="L820" s="73" t="s">
        <v>16</v>
      </c>
      <c r="M820" s="76"/>
      <c r="O820" s="16" t="str">
        <f t="shared" si="31"/>
        <v/>
      </c>
    </row>
    <row r="821" spans="1:15" ht="15" customHeight="1" x14ac:dyDescent="0.3">
      <c r="A821" s="67" t="s">
        <v>34</v>
      </c>
      <c r="B821" s="91" t="s">
        <v>1578</v>
      </c>
      <c r="C821" s="68" t="s">
        <v>88</v>
      </c>
      <c r="D821" s="68" t="s">
        <v>1579</v>
      </c>
      <c r="E821" s="68" t="s">
        <v>38</v>
      </c>
      <c r="F821" s="69">
        <v>46053.634722222225</v>
      </c>
      <c r="G821" s="68">
        <v>2393</v>
      </c>
      <c r="H821" s="68" t="s">
        <v>14</v>
      </c>
      <c r="I821" s="70"/>
      <c r="J821" s="68">
        <v>2015</v>
      </c>
      <c r="K821" s="81" t="str">
        <f t="shared" ref="K821:K854" si="32">IF(AND(NOT(ISBLANK(I821)), NOT(ISBLANK(M821))), "OUI", "")</f>
        <v/>
      </c>
      <c r="L821" s="68" t="s">
        <v>16</v>
      </c>
      <c r="M821" s="71"/>
      <c r="O821" s="16" t="str">
        <f t="shared" ref="O821:O824" si="33">IF(AND(ISBLANK(I821), ISBLANK(N821)), "", "OUI")</f>
        <v/>
      </c>
    </row>
    <row r="822" spans="1:15" ht="15" customHeight="1" x14ac:dyDescent="0.3">
      <c r="A822" s="67" t="s">
        <v>34</v>
      </c>
      <c r="B822" s="91" t="s">
        <v>1578</v>
      </c>
      <c r="C822" s="68" t="s">
        <v>88</v>
      </c>
      <c r="D822" s="68" t="s">
        <v>1579</v>
      </c>
      <c r="E822" s="68" t="s">
        <v>38</v>
      </c>
      <c r="F822" s="69">
        <v>46053.640277777777</v>
      </c>
      <c r="G822" s="68">
        <v>2394</v>
      </c>
      <c r="H822" s="68" t="s">
        <v>24</v>
      </c>
      <c r="I822" s="70"/>
      <c r="J822" s="68">
        <v>2016</v>
      </c>
      <c r="K822" s="81" t="str">
        <f t="shared" si="32"/>
        <v/>
      </c>
      <c r="L822" s="68" t="s">
        <v>16</v>
      </c>
      <c r="M822" s="71"/>
      <c r="O822" s="16" t="str">
        <f t="shared" si="33"/>
        <v/>
      </c>
    </row>
    <row r="823" spans="1:15" ht="15" customHeight="1" x14ac:dyDescent="0.3">
      <c r="A823" s="67" t="s">
        <v>10</v>
      </c>
      <c r="B823" s="91" t="s">
        <v>1982</v>
      </c>
      <c r="C823" s="68" t="s">
        <v>66</v>
      </c>
      <c r="D823" s="104" t="s">
        <v>1983</v>
      </c>
      <c r="E823" s="68" t="s">
        <v>13</v>
      </c>
      <c r="F823" s="69">
        <v>46053.782638888886</v>
      </c>
      <c r="G823" s="68">
        <v>2396</v>
      </c>
      <c r="H823" s="68" t="s">
        <v>14</v>
      </c>
      <c r="I823" s="79">
        <v>46054.45208333333</v>
      </c>
      <c r="J823" s="68">
        <v>2017</v>
      </c>
      <c r="K823" s="81" t="str">
        <f t="shared" si="32"/>
        <v>OUI</v>
      </c>
      <c r="L823" s="68" t="s">
        <v>16</v>
      </c>
      <c r="M823" s="71" t="s">
        <v>1984</v>
      </c>
      <c r="O823" s="16" t="str">
        <f t="shared" si="33"/>
        <v>OUI</v>
      </c>
    </row>
    <row r="824" spans="1:15" ht="15" customHeight="1" x14ac:dyDescent="0.3">
      <c r="A824" s="72" t="s">
        <v>34</v>
      </c>
      <c r="B824" s="90" t="s">
        <v>1985</v>
      </c>
      <c r="C824" s="73" t="s">
        <v>172</v>
      </c>
      <c r="D824" s="73" t="s">
        <v>1986</v>
      </c>
      <c r="E824" s="73" t="s">
        <v>38</v>
      </c>
      <c r="F824" s="74">
        <v>46055.54583333333</v>
      </c>
      <c r="G824" s="73">
        <v>2398</v>
      </c>
      <c r="H824" s="73" t="s">
        <v>14</v>
      </c>
      <c r="I824" s="80">
        <v>46059.781377314815</v>
      </c>
      <c r="J824" s="73">
        <v>2018</v>
      </c>
      <c r="K824" s="81" t="str">
        <f t="shared" si="32"/>
        <v>OUI</v>
      </c>
      <c r="L824" s="73" t="s">
        <v>16</v>
      </c>
      <c r="M824" s="76" t="s">
        <v>1987</v>
      </c>
      <c r="N824" s="38">
        <v>46059</v>
      </c>
      <c r="O824" s="16" t="str">
        <f t="shared" si="33"/>
        <v>OUI</v>
      </c>
    </row>
    <row r="825" spans="1:15" ht="15" customHeight="1" x14ac:dyDescent="0.3">
      <c r="A825" s="72" t="s">
        <v>28</v>
      </c>
      <c r="B825" s="90" t="s">
        <v>1988</v>
      </c>
      <c r="C825" s="73" t="s">
        <v>88</v>
      </c>
      <c r="D825" s="73" t="s">
        <v>1989</v>
      </c>
      <c r="E825" s="73" t="s">
        <v>31</v>
      </c>
      <c r="F825" s="74">
        <v>46056.747916666667</v>
      </c>
      <c r="G825" s="73">
        <v>2400</v>
      </c>
      <c r="H825" s="73" t="s">
        <v>14</v>
      </c>
      <c r="I825" s="75"/>
      <c r="J825" s="73">
        <v>2019</v>
      </c>
      <c r="K825" s="81" t="str">
        <f t="shared" si="32"/>
        <v/>
      </c>
      <c r="L825" s="73" t="s">
        <v>16</v>
      </c>
      <c r="M825" s="76"/>
      <c r="O825" s="16" t="str">
        <f>IF(AND(ISBLANK(I825), ISBLANK(N825)), "", "OUI")</f>
        <v/>
      </c>
    </row>
    <row r="826" spans="1:15" ht="15" customHeight="1" x14ac:dyDescent="0.3">
      <c r="A826" s="67" t="s">
        <v>28</v>
      </c>
      <c r="B826" s="91" t="s">
        <v>1990</v>
      </c>
      <c r="C826" s="68" t="s">
        <v>93</v>
      </c>
      <c r="D826" s="68" t="s">
        <v>1991</v>
      </c>
      <c r="E826" s="68" t="s">
        <v>31</v>
      </c>
      <c r="F826" s="69">
        <v>46057.599999999999</v>
      </c>
      <c r="G826" s="68">
        <v>2402</v>
      </c>
      <c r="H826" s="68" t="s">
        <v>14</v>
      </c>
      <c r="I826" s="70"/>
      <c r="J826" s="68">
        <v>2020</v>
      </c>
      <c r="K826" s="81" t="str">
        <f t="shared" si="32"/>
        <v/>
      </c>
      <c r="L826" s="68" t="s">
        <v>16</v>
      </c>
      <c r="M826" s="71"/>
      <c r="O826" s="16" t="str">
        <f t="shared" ref="O826:O828" si="34">IF(AND(ISBLANK(I826), ISBLANK(N826)), "", "OUI")</f>
        <v/>
      </c>
    </row>
    <row r="827" spans="1:15" ht="15" customHeight="1" x14ac:dyDescent="0.3">
      <c r="A827" s="67" t="s">
        <v>28</v>
      </c>
      <c r="B827" s="91" t="s">
        <v>1507</v>
      </c>
      <c r="C827" s="68" t="s">
        <v>88</v>
      </c>
      <c r="D827" s="68" t="s">
        <v>1992</v>
      </c>
      <c r="E827" s="68" t="s">
        <v>31</v>
      </c>
      <c r="F827" s="69">
        <v>46057.675000000003</v>
      </c>
      <c r="G827" s="68">
        <v>2404</v>
      </c>
      <c r="H827" s="68" t="s">
        <v>14</v>
      </c>
      <c r="I827" s="70"/>
      <c r="J827" s="68">
        <v>2021</v>
      </c>
      <c r="K827" s="81" t="str">
        <f t="shared" si="32"/>
        <v/>
      </c>
      <c r="L827" s="68" t="s">
        <v>16</v>
      </c>
      <c r="M827" s="71"/>
      <c r="O827" s="16" t="str">
        <f t="shared" si="34"/>
        <v/>
      </c>
    </row>
    <row r="828" spans="1:15" ht="15" customHeight="1" x14ac:dyDescent="0.3">
      <c r="A828" s="72" t="s">
        <v>28</v>
      </c>
      <c r="B828" s="90" t="s">
        <v>1507</v>
      </c>
      <c r="C828" s="73" t="s">
        <v>88</v>
      </c>
      <c r="D828" s="73" t="s">
        <v>1993</v>
      </c>
      <c r="E828" s="73" t="s">
        <v>31</v>
      </c>
      <c r="F828" s="74">
        <v>46058.752083333333</v>
      </c>
      <c r="G828" s="73">
        <v>2406</v>
      </c>
      <c r="H828" s="73" t="s">
        <v>14</v>
      </c>
      <c r="I828" s="80">
        <v>46061.663888888892</v>
      </c>
      <c r="J828" s="73">
        <v>2022</v>
      </c>
      <c r="K828" s="81" t="str">
        <f t="shared" si="32"/>
        <v>OUI</v>
      </c>
      <c r="L828" s="73" t="s">
        <v>16</v>
      </c>
      <c r="M828" s="76" t="s">
        <v>1994</v>
      </c>
      <c r="N828" s="86"/>
      <c r="O828" s="16" t="str">
        <f t="shared" si="34"/>
        <v>OUI</v>
      </c>
    </row>
    <row r="829" spans="1:15" ht="15" customHeight="1" x14ac:dyDescent="0.3">
      <c r="A829" s="67" t="s">
        <v>99</v>
      </c>
      <c r="B829" s="10" t="s">
        <v>1995</v>
      </c>
      <c r="C829" s="1" t="s">
        <v>709</v>
      </c>
      <c r="D829" s="99" t="s">
        <v>1996</v>
      </c>
      <c r="E829" s="68" t="s">
        <v>13</v>
      </c>
      <c r="F829" s="69">
        <v>46061.650694444441</v>
      </c>
      <c r="G829" s="68">
        <v>2410</v>
      </c>
      <c r="H829" s="68" t="s">
        <v>14</v>
      </c>
      <c r="I829" s="79">
        <v>46061.669444444444</v>
      </c>
      <c r="J829" s="68">
        <v>2025</v>
      </c>
      <c r="K829" s="81" t="str">
        <f t="shared" si="32"/>
        <v>OUI</v>
      </c>
      <c r="L829" s="68" t="s">
        <v>16</v>
      </c>
      <c r="M829" s="71" t="s">
        <v>1997</v>
      </c>
      <c r="O829" s="16" t="str">
        <f t="shared" ref="O829:O833" si="35">IF(AND(ISBLANK(I829), ISBLANK(N829)), "", "OUI")</f>
        <v>OUI</v>
      </c>
    </row>
    <row r="830" spans="1:15" ht="15" customHeight="1" x14ac:dyDescent="0.3">
      <c r="A830" s="67" t="s">
        <v>34</v>
      </c>
      <c r="B830" s="91" t="s">
        <v>1998</v>
      </c>
      <c r="C830" s="68" t="s">
        <v>723</v>
      </c>
      <c r="D830" s="68" t="s">
        <v>1999</v>
      </c>
      <c r="E830" s="68" t="s">
        <v>38</v>
      </c>
      <c r="F830" s="69">
        <v>46063.349305555559</v>
      </c>
      <c r="G830" s="68">
        <v>2026</v>
      </c>
      <c r="H830" s="68" t="s">
        <v>24</v>
      </c>
      <c r="I830" s="79">
        <v>46066.568055555559</v>
      </c>
      <c r="J830" s="68">
        <v>2026</v>
      </c>
      <c r="K830" s="81" t="str">
        <f t="shared" si="32"/>
        <v>OUI</v>
      </c>
      <c r="L830" s="68" t="s">
        <v>16</v>
      </c>
      <c r="M830" s="71" t="s">
        <v>2000</v>
      </c>
      <c r="N830" s="38">
        <v>46066</v>
      </c>
      <c r="O830" s="16" t="str">
        <f t="shared" si="35"/>
        <v>OUI</v>
      </c>
    </row>
    <row r="831" spans="1:15" ht="15" customHeight="1" x14ac:dyDescent="0.3">
      <c r="A831" s="67" t="s">
        <v>17</v>
      </c>
      <c r="B831" s="10" t="s">
        <v>2001</v>
      </c>
      <c r="C831" s="68" t="s">
        <v>26</v>
      </c>
      <c r="D831" s="68" t="s">
        <v>2002</v>
      </c>
      <c r="E831" s="68" t="s">
        <v>19</v>
      </c>
      <c r="F831" s="69">
        <v>46063.475694444445</v>
      </c>
      <c r="G831" s="68">
        <v>2414</v>
      </c>
      <c r="H831" s="68" t="s">
        <v>14</v>
      </c>
      <c r="I831" s="70"/>
      <c r="J831" s="68">
        <v>2027</v>
      </c>
      <c r="K831" s="81" t="str">
        <f t="shared" si="32"/>
        <v/>
      </c>
      <c r="L831" s="68" t="s">
        <v>16</v>
      </c>
      <c r="M831" s="71"/>
      <c r="O831" s="16" t="str">
        <f t="shared" si="35"/>
        <v/>
      </c>
    </row>
    <row r="832" spans="1:15" ht="15" customHeight="1" x14ac:dyDescent="0.3">
      <c r="A832" s="67" t="s">
        <v>34</v>
      </c>
      <c r="B832" s="91" t="s">
        <v>2003</v>
      </c>
      <c r="C832" s="68" t="s">
        <v>1199</v>
      </c>
      <c r="D832" s="68" t="s">
        <v>2004</v>
      </c>
      <c r="E832" s="68" t="s">
        <v>38</v>
      </c>
      <c r="F832" s="69">
        <v>46069.856944444444</v>
      </c>
      <c r="G832" s="68">
        <v>2416</v>
      </c>
      <c r="H832" s="68" t="s">
        <v>14</v>
      </c>
      <c r="I832" s="79">
        <v>46074.705347222225</v>
      </c>
      <c r="J832" s="68">
        <v>2028</v>
      </c>
      <c r="K832" s="81" t="str">
        <f t="shared" si="32"/>
        <v>OUI</v>
      </c>
      <c r="L832" s="68" t="s">
        <v>16</v>
      </c>
      <c r="M832" s="71" t="s">
        <v>2005</v>
      </c>
      <c r="N832" s="38">
        <v>46074</v>
      </c>
      <c r="O832" s="16" t="str">
        <f t="shared" si="35"/>
        <v>OUI</v>
      </c>
    </row>
    <row r="833" spans="1:15" ht="15" customHeight="1" x14ac:dyDescent="0.3">
      <c r="A833" s="72" t="s">
        <v>17</v>
      </c>
      <c r="B833" s="10" t="s">
        <v>2006</v>
      </c>
      <c r="C833" s="73" t="s">
        <v>66</v>
      </c>
      <c r="D833" s="73" t="s">
        <v>2007</v>
      </c>
      <c r="E833" s="73" t="s">
        <v>19</v>
      </c>
      <c r="F833" s="74">
        <v>46070.574305555558</v>
      </c>
      <c r="G833" s="73">
        <v>2418</v>
      </c>
      <c r="H833" s="73" t="s">
        <v>14</v>
      </c>
      <c r="I833" s="80">
        <v>46107.580231481479</v>
      </c>
      <c r="J833" s="73">
        <v>2029</v>
      </c>
      <c r="K833" s="81" t="str">
        <f t="shared" si="32"/>
        <v>OUI</v>
      </c>
      <c r="L833" s="73" t="s">
        <v>16</v>
      </c>
      <c r="M833" s="76" t="s">
        <v>2008</v>
      </c>
      <c r="O833" s="16" t="str">
        <f t="shared" si="35"/>
        <v>OUI</v>
      </c>
    </row>
    <row r="834" spans="1:15" ht="15" customHeight="1" x14ac:dyDescent="0.3">
      <c r="A834" s="72" t="s">
        <v>32</v>
      </c>
      <c r="B834" s="90" t="s">
        <v>2009</v>
      </c>
      <c r="C834" s="1" t="s">
        <v>2010</v>
      </c>
      <c r="D834" s="73" t="s">
        <v>2011</v>
      </c>
      <c r="E834" s="73" t="s">
        <v>33</v>
      </c>
      <c r="F834" s="74">
        <v>46072.451388888891</v>
      </c>
      <c r="G834" s="73">
        <v>2420</v>
      </c>
      <c r="H834" s="73" t="s">
        <v>14</v>
      </c>
      <c r="I834" s="80">
        <v>46161.460995370369</v>
      </c>
      <c r="J834" s="73">
        <v>2030</v>
      </c>
      <c r="K834" s="81" t="str">
        <f t="shared" si="32"/>
        <v>OUI</v>
      </c>
      <c r="L834" s="73" t="s">
        <v>16</v>
      </c>
      <c r="M834" s="76" t="s">
        <v>2012</v>
      </c>
      <c r="O834" s="16" t="str">
        <f>IF(AND(ISBLANK(I834), ISBLANK(N834)), "", "OUI")</f>
        <v>OUI</v>
      </c>
    </row>
    <row r="835" spans="1:15" ht="15" customHeight="1" x14ac:dyDescent="0.3">
      <c r="A835" s="67" t="s">
        <v>34</v>
      </c>
      <c r="B835" s="91" t="s">
        <v>2013</v>
      </c>
      <c r="C835" s="68" t="s">
        <v>361</v>
      </c>
      <c r="D835" s="68" t="s">
        <v>2014</v>
      </c>
      <c r="E835" s="68" t="s">
        <v>38</v>
      </c>
      <c r="F835" s="69">
        <v>46077.40902777778</v>
      </c>
      <c r="G835" s="68">
        <v>2422</v>
      </c>
      <c r="H835" s="68" t="s">
        <v>14</v>
      </c>
      <c r="I835" s="70"/>
      <c r="J835" s="68">
        <v>2031</v>
      </c>
      <c r="K835" s="81" t="str">
        <f t="shared" si="32"/>
        <v/>
      </c>
      <c r="L835" s="68" t="s">
        <v>16</v>
      </c>
      <c r="M835" s="71"/>
      <c r="O835" s="16" t="str">
        <f t="shared" ref="O835:O838" si="36">IF(AND(ISBLANK(I835), ISBLANK(N835)), "", "OUI")</f>
        <v/>
      </c>
    </row>
    <row r="836" spans="1:15" ht="15" customHeight="1" x14ac:dyDescent="0.3">
      <c r="A836" s="67" t="s">
        <v>17</v>
      </c>
      <c r="B836" s="10" t="s">
        <v>2015</v>
      </c>
      <c r="C836" s="1" t="s">
        <v>47</v>
      </c>
      <c r="D836" s="68" t="s">
        <v>2016</v>
      </c>
      <c r="E836" s="68" t="s">
        <v>19</v>
      </c>
      <c r="F836" s="69">
        <v>46077.411111111112</v>
      </c>
      <c r="G836" s="68">
        <v>2424</v>
      </c>
      <c r="H836" s="68" t="s">
        <v>14</v>
      </c>
      <c r="I836" s="70"/>
      <c r="J836" s="68">
        <v>2032</v>
      </c>
      <c r="K836" s="81" t="str">
        <f t="shared" si="32"/>
        <v/>
      </c>
      <c r="L836" s="68" t="s">
        <v>16</v>
      </c>
      <c r="M836" s="71"/>
      <c r="O836" s="16" t="str">
        <f t="shared" si="36"/>
        <v/>
      </c>
    </row>
    <row r="837" spans="1:15" ht="15" customHeight="1" x14ac:dyDescent="0.3">
      <c r="A837" s="67" t="s">
        <v>34</v>
      </c>
      <c r="B837" s="91" t="s">
        <v>2017</v>
      </c>
      <c r="C837" s="68" t="s">
        <v>2018</v>
      </c>
      <c r="D837" s="68" t="s">
        <v>2019</v>
      </c>
      <c r="E837" s="68" t="s">
        <v>38</v>
      </c>
      <c r="F837" s="69">
        <v>46080.26458333333</v>
      </c>
      <c r="G837" s="68">
        <v>2033</v>
      </c>
      <c r="H837" s="68" t="s">
        <v>24</v>
      </c>
      <c r="I837" s="79">
        <v>46080.265277777777</v>
      </c>
      <c r="J837" s="68">
        <v>2033</v>
      </c>
      <c r="K837" s="81" t="str">
        <f t="shared" si="32"/>
        <v>OUI</v>
      </c>
      <c r="L837" s="68" t="s">
        <v>16</v>
      </c>
      <c r="M837" s="71" t="s">
        <v>2020</v>
      </c>
      <c r="N837" s="38">
        <v>46080</v>
      </c>
      <c r="O837" s="16" t="str">
        <f t="shared" si="36"/>
        <v>OUI</v>
      </c>
    </row>
    <row r="838" spans="1:15" ht="15" customHeight="1" x14ac:dyDescent="0.3">
      <c r="A838" s="72" t="s">
        <v>34</v>
      </c>
      <c r="B838" s="90" t="s">
        <v>2021</v>
      </c>
      <c r="C838" s="73" t="s">
        <v>226</v>
      </c>
      <c r="D838" s="73" t="s">
        <v>2022</v>
      </c>
      <c r="E838" s="73" t="s">
        <v>38</v>
      </c>
      <c r="F838" s="74">
        <v>46080.637499999997</v>
      </c>
      <c r="G838" s="73">
        <v>2035</v>
      </c>
      <c r="H838" s="73" t="s">
        <v>24</v>
      </c>
      <c r="I838" s="80">
        <v>46080.642361111109</v>
      </c>
      <c r="J838" s="73">
        <v>2035</v>
      </c>
      <c r="K838" s="81" t="str">
        <f t="shared" si="32"/>
        <v>OUI</v>
      </c>
      <c r="L838" s="73" t="s">
        <v>16</v>
      </c>
      <c r="M838" s="76" t="s">
        <v>2023</v>
      </c>
      <c r="N838" s="38">
        <v>46080</v>
      </c>
      <c r="O838" s="16" t="str">
        <f t="shared" si="36"/>
        <v>OUI</v>
      </c>
    </row>
    <row r="839" spans="1:15" ht="15" customHeight="1" x14ac:dyDescent="0.3">
      <c r="A839" s="72" t="s">
        <v>34</v>
      </c>
      <c r="B839" s="90" t="s">
        <v>2024</v>
      </c>
      <c r="C839" s="73" t="s">
        <v>376</v>
      </c>
      <c r="D839" s="73" t="s">
        <v>2025</v>
      </c>
      <c r="E839" s="73" t="s">
        <v>38</v>
      </c>
      <c r="F839" s="74">
        <v>46096.88958333333</v>
      </c>
      <c r="G839" s="73">
        <v>2428</v>
      </c>
      <c r="H839" s="73" t="s">
        <v>14</v>
      </c>
      <c r="I839" s="75"/>
      <c r="J839" s="73">
        <v>2036</v>
      </c>
      <c r="K839" s="81" t="str">
        <f t="shared" si="32"/>
        <v/>
      </c>
      <c r="L839" s="73" t="s">
        <v>16</v>
      </c>
      <c r="M839" s="76"/>
      <c r="O839" s="16" t="str">
        <f>IF(AND(ISBLANK(I839), ISBLANK(N839)), "", "OUI")</f>
        <v/>
      </c>
    </row>
    <row r="840" spans="1:15" ht="15" customHeight="1" x14ac:dyDescent="0.3">
      <c r="A840" s="67" t="s">
        <v>209</v>
      </c>
      <c r="B840" s="91" t="s">
        <v>1184</v>
      </c>
      <c r="C840" s="68" t="s">
        <v>394</v>
      </c>
      <c r="D840" s="68" t="s">
        <v>1185</v>
      </c>
      <c r="E840" s="68" t="s">
        <v>57</v>
      </c>
      <c r="F840" s="69">
        <v>46100.420138888891</v>
      </c>
      <c r="G840" s="68">
        <v>2430</v>
      </c>
      <c r="H840" s="68" t="s">
        <v>14</v>
      </c>
      <c r="I840" s="70"/>
      <c r="J840" s="68">
        <v>2037</v>
      </c>
      <c r="K840" s="81" t="str">
        <f t="shared" si="32"/>
        <v/>
      </c>
      <c r="L840" s="68" t="s">
        <v>165</v>
      </c>
      <c r="M840" s="71"/>
      <c r="O840" s="16" t="str">
        <f t="shared" ref="O840:O841" si="37">IF(AND(ISBLANK(I840), ISBLANK(N840)), "", "OUI")</f>
        <v/>
      </c>
    </row>
    <row r="841" spans="1:15" ht="15" customHeight="1" x14ac:dyDescent="0.3">
      <c r="A841" s="72" t="s">
        <v>17</v>
      </c>
      <c r="B841" s="10" t="s">
        <v>2026</v>
      </c>
      <c r="C841" s="1" t="s">
        <v>26</v>
      </c>
      <c r="D841" s="73" t="s">
        <v>2027</v>
      </c>
      <c r="E841" s="73" t="s">
        <v>19</v>
      </c>
      <c r="F841" s="74">
        <v>46101.709027777775</v>
      </c>
      <c r="G841" s="73">
        <v>2432</v>
      </c>
      <c r="H841" s="73" t="s">
        <v>14</v>
      </c>
      <c r="I841" s="75"/>
      <c r="J841" s="73">
        <v>2038</v>
      </c>
      <c r="K841" s="81" t="str">
        <f t="shared" si="32"/>
        <v/>
      </c>
      <c r="L841" s="73" t="s">
        <v>16</v>
      </c>
      <c r="M841" s="76"/>
      <c r="O841" s="16" t="str">
        <f t="shared" si="37"/>
        <v/>
      </c>
    </row>
    <row r="842" spans="1:15" ht="15" customHeight="1" x14ac:dyDescent="0.3">
      <c r="A842" s="67" t="s">
        <v>34</v>
      </c>
      <c r="B842" s="91" t="s">
        <v>2028</v>
      </c>
      <c r="C842" s="68" t="s">
        <v>63</v>
      </c>
      <c r="D842" s="68" t="s">
        <v>2029</v>
      </c>
      <c r="E842" s="68" t="s">
        <v>38</v>
      </c>
      <c r="F842" s="69">
        <v>46106.451388888891</v>
      </c>
      <c r="G842" s="68">
        <v>2040</v>
      </c>
      <c r="H842" s="68" t="s">
        <v>24</v>
      </c>
      <c r="I842" s="79">
        <v>46106.45416666667</v>
      </c>
      <c r="J842" s="68">
        <v>2040</v>
      </c>
      <c r="K842" s="81" t="str">
        <f t="shared" si="32"/>
        <v>OUI</v>
      </c>
      <c r="L842" s="68" t="s">
        <v>16</v>
      </c>
      <c r="M842" s="71" t="s">
        <v>2030</v>
      </c>
      <c r="O842" s="16" t="str">
        <f t="shared" ref="O842:O843" si="38">IF(AND(ISBLANK(I842), ISBLANK(N842)), "", "OUI")</f>
        <v>OUI</v>
      </c>
    </row>
    <row r="843" spans="1:15" ht="15" customHeight="1" x14ac:dyDescent="0.3">
      <c r="A843" s="72" t="s">
        <v>17</v>
      </c>
      <c r="B843" s="10" t="s">
        <v>1463</v>
      </c>
      <c r="C843" s="73" t="s">
        <v>144</v>
      </c>
      <c r="D843" s="73" t="s">
        <v>1158</v>
      </c>
      <c r="E843" s="73" t="s">
        <v>19</v>
      </c>
      <c r="F843" s="74">
        <v>46107.402777777781</v>
      </c>
      <c r="G843" s="73">
        <v>2436</v>
      </c>
      <c r="H843" s="73" t="s">
        <v>14</v>
      </c>
      <c r="I843" s="75"/>
      <c r="J843" s="73">
        <v>2041</v>
      </c>
      <c r="K843" s="81" t="str">
        <f t="shared" si="32"/>
        <v/>
      </c>
      <c r="L843" s="73" t="s">
        <v>165</v>
      </c>
      <c r="M843" s="76"/>
      <c r="O843" s="16" t="str">
        <f t="shared" si="38"/>
        <v/>
      </c>
    </row>
    <row r="844" spans="1:15" ht="15" customHeight="1" x14ac:dyDescent="0.3">
      <c r="A844" s="72" t="s">
        <v>28</v>
      </c>
      <c r="B844" s="90" t="s">
        <v>2031</v>
      </c>
      <c r="C844" s="73" t="s">
        <v>919</v>
      </c>
      <c r="D844" s="73" t="s">
        <v>2032</v>
      </c>
      <c r="E844" s="73" t="s">
        <v>31</v>
      </c>
      <c r="F844" s="74">
        <v>46112.439583333333</v>
      </c>
      <c r="G844" s="73">
        <v>2438</v>
      </c>
      <c r="H844" s="73" t="s">
        <v>14</v>
      </c>
      <c r="I844" s="80">
        <v>46171.497523148151</v>
      </c>
      <c r="J844" s="73">
        <v>2042</v>
      </c>
      <c r="K844" s="81" t="str">
        <f t="shared" si="32"/>
        <v>OUI</v>
      </c>
      <c r="L844" s="73" t="s">
        <v>16</v>
      </c>
      <c r="M844" s="76" t="s">
        <v>2033</v>
      </c>
      <c r="O844" s="16" t="str">
        <f>IF(AND(ISBLANK(I844), ISBLANK(N844)), "", "OUI")</f>
        <v>OUI</v>
      </c>
    </row>
    <row r="845" spans="1:15" ht="15" customHeight="1" x14ac:dyDescent="0.3">
      <c r="A845" s="72" t="s">
        <v>34</v>
      </c>
      <c r="B845" s="90" t="s">
        <v>2034</v>
      </c>
      <c r="C845" s="73" t="s">
        <v>1437</v>
      </c>
      <c r="D845" s="73" t="s">
        <v>2035</v>
      </c>
      <c r="E845" s="73" t="s">
        <v>38</v>
      </c>
      <c r="F845" s="74">
        <v>46118.547222222223</v>
      </c>
      <c r="G845" s="73">
        <v>2440</v>
      </c>
      <c r="H845" s="73" t="s">
        <v>14</v>
      </c>
      <c r="I845" s="75"/>
      <c r="J845" s="73">
        <v>2043</v>
      </c>
      <c r="K845" s="81" t="str">
        <f t="shared" si="32"/>
        <v/>
      </c>
      <c r="L845" s="73" t="s">
        <v>16</v>
      </c>
      <c r="M845" s="76"/>
      <c r="O845" s="16" t="str">
        <f>IF(AND(ISBLANK(I845), ISBLANK(N845)), "", "OUI")</f>
        <v/>
      </c>
    </row>
    <row r="846" spans="1:15" ht="15" customHeight="1" x14ac:dyDescent="0.3">
      <c r="A846" s="67" t="s">
        <v>10</v>
      </c>
      <c r="B846" s="10" t="s">
        <v>2036</v>
      </c>
      <c r="C846" s="1" t="s">
        <v>279</v>
      </c>
      <c r="D846" s="68" t="s">
        <v>2037</v>
      </c>
      <c r="E846" s="68" t="s">
        <v>13</v>
      </c>
      <c r="F846" s="69">
        <v>46133.552083333336</v>
      </c>
      <c r="G846" s="68">
        <v>2442</v>
      </c>
      <c r="H846" s="68" t="s">
        <v>14</v>
      </c>
      <c r="I846" s="70"/>
      <c r="J846" s="68">
        <v>2044</v>
      </c>
      <c r="K846" s="81" t="str">
        <f t="shared" si="32"/>
        <v/>
      </c>
      <c r="L846" s="68" t="s">
        <v>16</v>
      </c>
      <c r="M846" s="71"/>
      <c r="O846" s="16" t="str">
        <f t="shared" ref="O846:O849" si="39">IF(AND(ISBLANK(I846), ISBLANK(N846)), "", "OUI")</f>
        <v/>
      </c>
    </row>
    <row r="847" spans="1:15" ht="15" customHeight="1" x14ac:dyDescent="0.3">
      <c r="A847" s="67" t="s">
        <v>20</v>
      </c>
      <c r="B847" s="91" t="s">
        <v>2038</v>
      </c>
      <c r="C847" s="68" t="s">
        <v>26</v>
      </c>
      <c r="D847" s="68" t="s">
        <v>2039</v>
      </c>
      <c r="E847" s="68" t="s">
        <v>23</v>
      </c>
      <c r="F847" s="69">
        <v>46142.304166666669</v>
      </c>
      <c r="G847" s="68">
        <v>2444</v>
      </c>
      <c r="H847" s="68" t="s">
        <v>14</v>
      </c>
      <c r="I847" s="79">
        <v>46142.472916666666</v>
      </c>
      <c r="J847" s="68">
        <v>2045</v>
      </c>
      <c r="K847" s="81" t="str">
        <f t="shared" si="32"/>
        <v>OUI</v>
      </c>
      <c r="L847" s="68" t="s">
        <v>16</v>
      </c>
      <c r="M847" s="71" t="s">
        <v>2040</v>
      </c>
      <c r="O847" s="16" t="str">
        <f t="shared" si="39"/>
        <v>OUI</v>
      </c>
    </row>
    <row r="848" spans="1:15" ht="15" customHeight="1" x14ac:dyDescent="0.3">
      <c r="A848" s="67" t="s">
        <v>17</v>
      </c>
      <c r="B848" s="91" t="s">
        <v>2041</v>
      </c>
      <c r="C848" s="1" t="s">
        <v>66</v>
      </c>
      <c r="D848" s="68" t="s">
        <v>2042</v>
      </c>
      <c r="E848" s="68" t="s">
        <v>19</v>
      </c>
      <c r="F848" s="69">
        <v>46147.726388888892</v>
      </c>
      <c r="G848" s="68">
        <v>2446</v>
      </c>
      <c r="H848" s="68" t="s">
        <v>14</v>
      </c>
      <c r="I848" s="79">
        <v>46160.483032407406</v>
      </c>
      <c r="J848" s="68">
        <v>2046</v>
      </c>
      <c r="K848" s="81" t="str">
        <f t="shared" si="32"/>
        <v>OUI</v>
      </c>
      <c r="L848" s="68" t="s">
        <v>16</v>
      </c>
      <c r="M848" s="71" t="s">
        <v>2043</v>
      </c>
      <c r="O848" s="16" t="str">
        <f t="shared" si="39"/>
        <v>OUI</v>
      </c>
    </row>
    <row r="849" spans="1:15" ht="15" customHeight="1" x14ac:dyDescent="0.3">
      <c r="A849" s="72" t="s">
        <v>34</v>
      </c>
      <c r="B849" s="90" t="s">
        <v>2044</v>
      </c>
      <c r="C849" s="73" t="s">
        <v>47</v>
      </c>
      <c r="D849" s="73" t="s">
        <v>2045</v>
      </c>
      <c r="E849" s="73" t="s">
        <v>38</v>
      </c>
      <c r="F849" s="74">
        <v>46148.677083333336</v>
      </c>
      <c r="G849" s="73">
        <v>2448</v>
      </c>
      <c r="H849" s="73" t="s">
        <v>14</v>
      </c>
      <c r="I849" s="75"/>
      <c r="J849" s="73">
        <v>2047</v>
      </c>
      <c r="K849" s="81" t="str">
        <f t="shared" si="32"/>
        <v/>
      </c>
      <c r="L849" s="73" t="s">
        <v>16</v>
      </c>
      <c r="M849" s="76"/>
      <c r="O849" s="16" t="str">
        <f t="shared" si="39"/>
        <v/>
      </c>
    </row>
    <row r="850" spans="1:15" ht="15" customHeight="1" x14ac:dyDescent="0.3">
      <c r="A850" s="72" t="s">
        <v>34</v>
      </c>
      <c r="B850" s="90" t="s">
        <v>2046</v>
      </c>
      <c r="C850" s="73" t="s">
        <v>47</v>
      </c>
      <c r="D850" s="73" t="s">
        <v>2047</v>
      </c>
      <c r="E850" s="73" t="s">
        <v>38</v>
      </c>
      <c r="F850" s="74">
        <v>46149.507638888892</v>
      </c>
      <c r="G850" s="73">
        <v>2450</v>
      </c>
      <c r="H850" s="73" t="s">
        <v>14</v>
      </c>
      <c r="I850" s="75"/>
      <c r="J850" s="73">
        <v>2048</v>
      </c>
      <c r="K850" s="81" t="str">
        <f t="shared" si="32"/>
        <v/>
      </c>
      <c r="L850" s="73" t="s">
        <v>16</v>
      </c>
      <c r="M850" s="76"/>
      <c r="O850" s="16" t="str">
        <f>IF(AND(ISBLANK(I850), ISBLANK(N850)), "", "OUI")</f>
        <v/>
      </c>
    </row>
    <row r="851" spans="1:15" ht="15" customHeight="1" x14ac:dyDescent="0.3">
      <c r="A851" s="67" t="s">
        <v>17</v>
      </c>
      <c r="B851" s="10" t="s">
        <v>2048</v>
      </c>
      <c r="C851" s="1" t="s">
        <v>376</v>
      </c>
      <c r="D851" s="68" t="s">
        <v>2049</v>
      </c>
      <c r="E851" s="68" t="s">
        <v>19</v>
      </c>
      <c r="F851" s="69">
        <v>46157.072222222225</v>
      </c>
      <c r="G851" s="68">
        <v>2452</v>
      </c>
      <c r="H851" s="68" t="s">
        <v>14</v>
      </c>
      <c r="I851" s="70"/>
      <c r="J851" s="68">
        <v>2049</v>
      </c>
      <c r="K851" s="81" t="str">
        <f t="shared" si="32"/>
        <v/>
      </c>
      <c r="L851" s="68" t="s">
        <v>16</v>
      </c>
      <c r="M851" s="71"/>
      <c r="O851" s="16" t="str">
        <f t="shared" ref="O851:O854" si="40">IF(AND(ISBLANK(I851), ISBLANK(N851)), "", "OUI")</f>
        <v/>
      </c>
    </row>
    <row r="852" spans="1:15" ht="15" customHeight="1" x14ac:dyDescent="0.3">
      <c r="A852" s="67" t="s">
        <v>17</v>
      </c>
      <c r="B852" s="10" t="s">
        <v>2050</v>
      </c>
      <c r="C852" s="1" t="s">
        <v>36</v>
      </c>
      <c r="D852" s="68" t="s">
        <v>2051</v>
      </c>
      <c r="E852" s="68" t="s">
        <v>19</v>
      </c>
      <c r="F852" s="69">
        <v>46168.729166666664</v>
      </c>
      <c r="G852" s="68">
        <v>2454</v>
      </c>
      <c r="H852" s="68" t="s">
        <v>14</v>
      </c>
      <c r="I852" s="70"/>
      <c r="J852" s="68">
        <v>2050</v>
      </c>
      <c r="K852" s="81" t="str">
        <f t="shared" si="32"/>
        <v/>
      </c>
      <c r="L852" s="68" t="s">
        <v>16</v>
      </c>
      <c r="M852" s="71"/>
      <c r="O852" s="16" t="str">
        <f t="shared" si="40"/>
        <v/>
      </c>
    </row>
    <row r="853" spans="1:15" ht="15" customHeight="1" x14ac:dyDescent="0.3">
      <c r="A853" s="67" t="s">
        <v>34</v>
      </c>
      <c r="B853" s="91" t="s">
        <v>2052</v>
      </c>
      <c r="C853" s="68" t="s">
        <v>47</v>
      </c>
      <c r="D853" s="68" t="s">
        <v>2053</v>
      </c>
      <c r="E853" s="68" t="s">
        <v>38</v>
      </c>
      <c r="F853" s="69">
        <v>46173.513194444444</v>
      </c>
      <c r="G853" s="68">
        <v>2456</v>
      </c>
      <c r="H853" s="68" t="s">
        <v>14</v>
      </c>
      <c r="I853" s="70"/>
      <c r="J853" s="68">
        <v>2051</v>
      </c>
      <c r="K853" s="81" t="str">
        <f t="shared" si="32"/>
        <v/>
      </c>
      <c r="L853" s="68" t="s">
        <v>16</v>
      </c>
      <c r="M853" s="71"/>
      <c r="O853" s="16" t="str">
        <f t="shared" si="40"/>
        <v/>
      </c>
    </row>
    <row r="854" spans="1:15" ht="15" customHeight="1" x14ac:dyDescent="0.3">
      <c r="A854" s="72" t="s">
        <v>17</v>
      </c>
      <c r="B854" s="10" t="s">
        <v>2054</v>
      </c>
      <c r="C854" s="73" t="s">
        <v>47</v>
      </c>
      <c r="D854" s="73" t="s">
        <v>2055</v>
      </c>
      <c r="E854" s="73" t="s">
        <v>19</v>
      </c>
      <c r="F854" s="74">
        <v>46175.461111111108</v>
      </c>
      <c r="G854" s="73">
        <v>2458</v>
      </c>
      <c r="H854" s="73" t="s">
        <v>14</v>
      </c>
      <c r="I854" s="75"/>
      <c r="J854" s="73">
        <v>2052</v>
      </c>
      <c r="K854" s="81" t="str">
        <f t="shared" si="32"/>
        <v/>
      </c>
      <c r="L854" s="73" t="s">
        <v>16</v>
      </c>
      <c r="M854" s="76"/>
      <c r="O854" s="16" t="str">
        <f t="shared" si="40"/>
        <v/>
      </c>
    </row>
  </sheetData>
  <conditionalFormatting sqref="D1:D1048576">
    <cfRule type="duplicateValues" dxfId="0" priority="2"/>
  </conditionalFormatting>
  <hyperlinks>
    <hyperlink ref="D570" r:id="rId1" xr:uid="{E9289B55-FA3B-4158-BC1E-9A2B94DEDC69}"/>
    <hyperlink ref="D413" r:id="rId2" xr:uid="{98CE3D05-74E0-4FDD-88F4-67D0C30EBB27}"/>
    <hyperlink ref="D312" r:id="rId3" xr:uid="{D1A2EF09-75A4-458F-9FBD-2F16A9D55CEA}"/>
    <hyperlink ref="D405" r:id="rId4" xr:uid="{F3D73715-F877-4E40-8CB1-FB836ACCAABD}"/>
    <hyperlink ref="D823" r:id="rId5" xr:uid="{39C960E3-4534-4438-AEAA-86F2709BFD35}"/>
    <hyperlink ref="D829" r:id="rId6" xr:uid="{408FBFB1-3995-4518-900F-A4CDD75B8D40}"/>
    <hyperlink ref="D78" r:id="rId7" xr:uid="{EE77B101-FDD4-4D9E-A5BE-25662466C822}"/>
    <hyperlink ref="D316" r:id="rId8" xr:uid="{1E529065-1791-4A39-8AFC-8CB254963FD8}"/>
  </hyperlinks>
  <pageMargins left="0.7" right="0.7" top="0.75" bottom="0.75" header="0.3" footer="0.3"/>
  <legacyDrawing r:id="rId9"/>
  <tableParts count="1"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77fa61-0d1c-47ac-ba2e-36e3490605a6">
      <Terms xmlns="http://schemas.microsoft.com/office/infopath/2007/PartnerControls"/>
    </lcf76f155ced4ddcb4097134ff3c332f>
    <TaxCatchAll xmlns="397abc41-bb79-4d9e-86fb-4be04ecd263e" xsi:nil="true"/>
    <SharedWithUsers xmlns="397abc41-bb79-4d9e-86fb-4be04ecd263e">
      <UserInfo>
        <DisplayName>Judicaël GOULI</DisplayName>
        <AccountId>108</AccountId>
        <AccountType/>
      </UserInfo>
      <UserInfo>
        <DisplayName>Nicaise KOUAKOU</DisplayName>
        <AccountId>6</AccountId>
        <AccountType/>
      </UserInfo>
      <UserInfo>
        <DisplayName>N'guessan Sonia KOFFI</DisplayName>
        <AccountId>109</AccountId>
        <AccountType/>
      </UserInfo>
      <UserInfo>
        <DisplayName>Moussa SECK</DisplayName>
        <AccountId>34</AccountId>
        <AccountType/>
      </UserInfo>
      <UserInfo>
        <DisplayName>Micheline LAWSON</DisplayName>
        <AccountId>105</AccountId>
        <AccountType/>
      </UserInfo>
      <UserInfo>
        <DisplayName>Monique AVOAKA</DisplayName>
        <AccountId>24</AccountId>
        <AccountType/>
      </UserInfo>
      <UserInfo>
        <DisplayName>Leticia ACKUN</DisplayName>
        <AccountId>30</AccountId>
        <AccountType/>
      </UserInfo>
      <UserInfo>
        <DisplayName>Aristide N’GORAN</DisplayName>
        <AccountId>137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B9D77E91E22048B47CF0702116755E" ma:contentTypeVersion="18" ma:contentTypeDescription="Crée un document." ma:contentTypeScope="" ma:versionID="d26015ee4f1a5782f4dcc6afc6ae0357">
  <xsd:schema xmlns:xsd="http://www.w3.org/2001/XMLSchema" xmlns:xs="http://www.w3.org/2001/XMLSchema" xmlns:p="http://schemas.microsoft.com/office/2006/metadata/properties" xmlns:ns2="397abc41-bb79-4d9e-86fb-4be04ecd263e" xmlns:ns3="9077fa61-0d1c-47ac-ba2e-36e3490605a6" targetNamespace="http://schemas.microsoft.com/office/2006/metadata/properties" ma:root="true" ma:fieldsID="177243c8da906cdf42d8acf9a0bef639" ns2:_="" ns3:_="">
    <xsd:import namespace="397abc41-bb79-4d9e-86fb-4be04ecd263e"/>
    <xsd:import namespace="9077fa61-0d1c-47ac-ba2e-36e3490605a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abc41-bb79-4d9e-86fb-4be04ecd26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fb62f8f-1276-4a3a-a30b-1ada09298579}" ma:internalName="TaxCatchAll" ma:showField="CatchAllData" ma:web="397abc41-bb79-4d9e-86fb-4be04ecd26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7fa61-0d1c-47ac-ba2e-36e349060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f75ea8a3-5006-4ce5-b9c4-f6f82e8a12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329859-D1CA-4B14-8292-C1026327FA77}">
  <ds:schemaRefs>
    <ds:schemaRef ds:uri="http://schemas.microsoft.com/office/2006/metadata/properties"/>
    <ds:schemaRef ds:uri="http://schemas.microsoft.com/office/infopath/2007/PartnerControls"/>
    <ds:schemaRef ds:uri="9077fa61-0d1c-47ac-ba2e-36e3490605a6"/>
    <ds:schemaRef ds:uri="397abc41-bb79-4d9e-86fb-4be04ecd263e"/>
  </ds:schemaRefs>
</ds:datastoreItem>
</file>

<file path=customXml/itemProps2.xml><?xml version="1.0" encoding="utf-8"?>
<ds:datastoreItem xmlns:ds="http://schemas.openxmlformats.org/officeDocument/2006/customXml" ds:itemID="{04588134-55FA-4D5D-A44C-C425C003E2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ADD42D-2A10-44F0-88AA-5C928C7D1E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7abc41-bb79-4d9e-86fb-4be04ecd263e"/>
    <ds:schemaRef ds:uri="9077fa61-0d1c-47ac-ba2e-36e349060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INSCRIPTIONS ET ADHESIONS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Alexandre KANGA</cp:lastModifiedBy>
  <cp:revision/>
  <dcterms:created xsi:type="dcterms:W3CDTF">2023-02-18T12:54:00Z</dcterms:created>
  <dcterms:modified xsi:type="dcterms:W3CDTF">2026-06-21T12:34:27Z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0x0101005EB9D77E91E22048B47CF0702116755E</vt:lpwstr>
  </property>
  <property fmtid="{D5CDD505-2E9C-101B-9397-08002B2CF9AE}" pid="3" name="MediaServiceImageTags">
    <vt:lpwstr/>
  </property>
</Properties>
</file>